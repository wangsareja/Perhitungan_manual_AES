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Kuliah\POLINEMA\Semester 8\Skripsi\"/>
    </mc:Choice>
  </mc:AlternateContent>
  <bookViews>
    <workbookView xWindow="0" yWindow="0" windowWidth="20490" windowHeight="7695" activeTab="1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82" i="2" l="1"/>
  <c r="AK83" i="2"/>
  <c r="AK84" i="2"/>
  <c r="AK81" i="2"/>
  <c r="AK586" i="3" l="1"/>
  <c r="AK587" i="3"/>
  <c r="AK588" i="3"/>
  <c r="AK585" i="3"/>
  <c r="AJ586" i="3"/>
  <c r="AJ587" i="3"/>
  <c r="AJ588" i="3"/>
  <c r="AJ585" i="3"/>
  <c r="AI586" i="3"/>
  <c r="AI587" i="3"/>
  <c r="AI588" i="3"/>
  <c r="AI585" i="3"/>
  <c r="AH586" i="3"/>
  <c r="AH587" i="3"/>
  <c r="AH588" i="3"/>
  <c r="AH585" i="3"/>
  <c r="AK544" i="3"/>
  <c r="AK545" i="3"/>
  <c r="AK546" i="3"/>
  <c r="AK543" i="3"/>
  <c r="AJ544" i="3"/>
  <c r="AJ545" i="3"/>
  <c r="AJ546" i="3"/>
  <c r="AJ543" i="3"/>
  <c r="AI544" i="3"/>
  <c r="AI545" i="3"/>
  <c r="AI546" i="3"/>
  <c r="AI543" i="3"/>
  <c r="AH544" i="3"/>
  <c r="AH545" i="3"/>
  <c r="AH546" i="3"/>
  <c r="AH543" i="3"/>
  <c r="AK502" i="3"/>
  <c r="AK503" i="3"/>
  <c r="AK504" i="3"/>
  <c r="AK501" i="3"/>
  <c r="AJ502" i="3"/>
  <c r="AJ503" i="3"/>
  <c r="AJ504" i="3"/>
  <c r="AJ501" i="3"/>
  <c r="AI502" i="3"/>
  <c r="AI503" i="3"/>
  <c r="AI504" i="3"/>
  <c r="AI501" i="3"/>
  <c r="AH502" i="3"/>
  <c r="AH503" i="3"/>
  <c r="AH504" i="3"/>
  <c r="AH501" i="3"/>
  <c r="AK460" i="3"/>
  <c r="AK461" i="3"/>
  <c r="AK462" i="3"/>
  <c r="AK459" i="3"/>
  <c r="AJ460" i="3"/>
  <c r="AJ461" i="3"/>
  <c r="AJ462" i="3"/>
  <c r="AJ459" i="3"/>
  <c r="AI460" i="3"/>
  <c r="AI461" i="3"/>
  <c r="AI462" i="3"/>
  <c r="AI459" i="3"/>
  <c r="AH460" i="3"/>
  <c r="AH461" i="3"/>
  <c r="AH462" i="3"/>
  <c r="AH459" i="3"/>
  <c r="AK418" i="3"/>
  <c r="AK419" i="3"/>
  <c r="AK420" i="3"/>
  <c r="AK417" i="3"/>
  <c r="AJ418" i="3"/>
  <c r="AJ419" i="3"/>
  <c r="AJ420" i="3"/>
  <c r="AJ417" i="3"/>
  <c r="AI418" i="3"/>
  <c r="AI419" i="3"/>
  <c r="AI420" i="3"/>
  <c r="AI417" i="3"/>
  <c r="AH418" i="3"/>
  <c r="AH419" i="3"/>
  <c r="AH420" i="3"/>
  <c r="AH417" i="3"/>
  <c r="AK376" i="3"/>
  <c r="AK377" i="3"/>
  <c r="AK378" i="3"/>
  <c r="AK375" i="3"/>
  <c r="AJ376" i="3"/>
  <c r="AJ377" i="3"/>
  <c r="AJ378" i="3"/>
  <c r="AJ375" i="3"/>
  <c r="AI376" i="3"/>
  <c r="AI377" i="3"/>
  <c r="AI378" i="3"/>
  <c r="AI375" i="3"/>
  <c r="AH376" i="3"/>
  <c r="AH377" i="3"/>
  <c r="AH378" i="3"/>
  <c r="AH375" i="3"/>
  <c r="AK334" i="3"/>
  <c r="AK335" i="3"/>
  <c r="AK336" i="3"/>
  <c r="AK333" i="3"/>
  <c r="AJ334" i="3"/>
  <c r="AJ335" i="3"/>
  <c r="AJ336" i="3"/>
  <c r="AJ333" i="3"/>
  <c r="AI334" i="3"/>
  <c r="AI335" i="3"/>
  <c r="AI336" i="3"/>
  <c r="AI333" i="3"/>
  <c r="AH334" i="3"/>
  <c r="AH335" i="3"/>
  <c r="AH336" i="3"/>
  <c r="AH333" i="3"/>
  <c r="AK292" i="3"/>
  <c r="AK293" i="3"/>
  <c r="AK294" i="3"/>
  <c r="AK291" i="3"/>
  <c r="AJ292" i="3"/>
  <c r="AJ293" i="3"/>
  <c r="AJ294" i="3"/>
  <c r="AJ291" i="3"/>
  <c r="AI292" i="3"/>
  <c r="AI293" i="3"/>
  <c r="AI294" i="3"/>
  <c r="AI291" i="3"/>
  <c r="AH292" i="3"/>
  <c r="AH293" i="3"/>
  <c r="AH294" i="3"/>
  <c r="AH291" i="3"/>
  <c r="AK250" i="3"/>
  <c r="AK251" i="3"/>
  <c r="AK252" i="3"/>
  <c r="AK249" i="3"/>
  <c r="AJ250" i="3"/>
  <c r="AJ251" i="3"/>
  <c r="AJ252" i="3"/>
  <c r="AJ249" i="3"/>
  <c r="AI250" i="3"/>
  <c r="AI251" i="3"/>
  <c r="AI252" i="3"/>
  <c r="AI249" i="3"/>
  <c r="AH250" i="3"/>
  <c r="AH251" i="3"/>
  <c r="AH252" i="3"/>
  <c r="AH249" i="3"/>
  <c r="AK208" i="3"/>
  <c r="AK209" i="3"/>
  <c r="AK210" i="3"/>
  <c r="AK207" i="3"/>
  <c r="AJ208" i="3"/>
  <c r="AJ209" i="3"/>
  <c r="AJ210" i="3"/>
  <c r="AJ207" i="3"/>
  <c r="AI208" i="3"/>
  <c r="AI209" i="3"/>
  <c r="AI210" i="3"/>
  <c r="AI207" i="3"/>
  <c r="AH208" i="3"/>
  <c r="AH209" i="3"/>
  <c r="AH210" i="3"/>
  <c r="AH207" i="3"/>
  <c r="AK166" i="3"/>
  <c r="AK167" i="3"/>
  <c r="AK168" i="3"/>
  <c r="AK165" i="3"/>
  <c r="AJ166" i="3"/>
  <c r="AJ167" i="3"/>
  <c r="AJ168" i="3"/>
  <c r="AJ165" i="3"/>
  <c r="AI166" i="3"/>
  <c r="AI167" i="3"/>
  <c r="AI168" i="3"/>
  <c r="AI165" i="3"/>
  <c r="AH166" i="3"/>
  <c r="AH167" i="3"/>
  <c r="AH168" i="3"/>
  <c r="AH165" i="3"/>
  <c r="AK124" i="3"/>
  <c r="AK125" i="3"/>
  <c r="AK126" i="3"/>
  <c r="AK123" i="3"/>
  <c r="AJ124" i="3"/>
  <c r="AJ125" i="3"/>
  <c r="AJ126" i="3"/>
  <c r="AJ123" i="3"/>
  <c r="AI124" i="3"/>
  <c r="AI125" i="3"/>
  <c r="AI126" i="3"/>
  <c r="AI123" i="3"/>
  <c r="AH124" i="3"/>
  <c r="AH125" i="3"/>
  <c r="AH126" i="3"/>
  <c r="AH123" i="3"/>
  <c r="AK82" i="3"/>
  <c r="AK83" i="3"/>
  <c r="AK84" i="3"/>
  <c r="AK81" i="3"/>
  <c r="AJ82" i="3"/>
  <c r="AJ83" i="3"/>
  <c r="AJ84" i="3"/>
  <c r="AJ81" i="3"/>
  <c r="AI82" i="3"/>
  <c r="AI83" i="3"/>
  <c r="AI84" i="3"/>
  <c r="AI81" i="3"/>
  <c r="AH82" i="3"/>
  <c r="AH83" i="3"/>
  <c r="AH84" i="3"/>
  <c r="AH81" i="3"/>
  <c r="AI39" i="2"/>
  <c r="AJ39" i="2"/>
  <c r="AK39" i="2"/>
  <c r="AI40" i="2"/>
  <c r="AJ40" i="2"/>
  <c r="AK40" i="2"/>
  <c r="AI41" i="2"/>
  <c r="AJ41" i="2"/>
  <c r="AK41" i="2"/>
  <c r="AI42" i="2"/>
  <c r="AJ42" i="2"/>
  <c r="AK42" i="2"/>
  <c r="AH40" i="2"/>
  <c r="AH41" i="2"/>
  <c r="AH42" i="2"/>
  <c r="AH39" i="2"/>
  <c r="AI24" i="2"/>
  <c r="AJ24" i="2"/>
  <c r="AK24" i="2"/>
  <c r="AI25" i="2"/>
  <c r="AJ25" i="2"/>
  <c r="AK25" i="2"/>
  <c r="AI26" i="2"/>
  <c r="AJ26" i="2"/>
  <c r="AK26" i="2"/>
  <c r="AI27" i="2"/>
  <c r="AJ27" i="2"/>
  <c r="AK27" i="2"/>
  <c r="AH25" i="2"/>
  <c r="AH26" i="2"/>
  <c r="AH27" i="2"/>
  <c r="AH24" i="2"/>
  <c r="AS24" i="2" l="1"/>
  <c r="AT24" i="2"/>
  <c r="AU24" i="2"/>
  <c r="AS25" i="2"/>
  <c r="AT25" i="2"/>
  <c r="AU25" i="2"/>
  <c r="AS26" i="2"/>
  <c r="AT26" i="2"/>
  <c r="AU26" i="2"/>
  <c r="AS27" i="2"/>
  <c r="AT27" i="2"/>
  <c r="AU27" i="2"/>
  <c r="AR25" i="2"/>
  <c r="AR26" i="2"/>
  <c r="AR27" i="2"/>
  <c r="AR24" i="2"/>
  <c r="BB42" i="2"/>
  <c r="BB35" i="2" s="1"/>
  <c r="CD57" i="2" l="1"/>
  <c r="CC57" i="2"/>
  <c r="CB57" i="2"/>
  <c r="CA57" i="2"/>
  <c r="CD56" i="2"/>
  <c r="CC56" i="2"/>
  <c r="CB56" i="2"/>
  <c r="CA56" i="2"/>
  <c r="CD55" i="2"/>
  <c r="CC55" i="2"/>
  <c r="CB55" i="2"/>
  <c r="CA55" i="2"/>
  <c r="CD54" i="2"/>
  <c r="CC54" i="2"/>
  <c r="CB54" i="2"/>
  <c r="CA54" i="2"/>
  <c r="CD40" i="2" l="1"/>
  <c r="CC40" i="2"/>
  <c r="CB40" i="2"/>
  <c r="CD39" i="2"/>
  <c r="CC39" i="2"/>
  <c r="CB39" i="2"/>
  <c r="CD38" i="2"/>
  <c r="CC38" i="2"/>
  <c r="CB38" i="2"/>
  <c r="CD37" i="2"/>
  <c r="CC37" i="2"/>
  <c r="CB37" i="2"/>
  <c r="CA38" i="2"/>
  <c r="BZ28" i="2"/>
  <c r="BY28" i="2"/>
  <c r="BL36" i="2"/>
  <c r="BM36" i="2"/>
  <c r="BK36" i="2"/>
  <c r="CA40" i="2"/>
  <c r="CA39" i="2"/>
  <c r="CA37" i="2"/>
  <c r="BN36" i="2"/>
  <c r="V4" i="2"/>
  <c r="AH124" i="2" s="1"/>
  <c r="V5" i="2"/>
  <c r="AH125" i="2" s="1"/>
  <c r="V6" i="2"/>
  <c r="AH126" i="2" s="1"/>
  <c r="V3" i="2"/>
  <c r="AH123" i="2" s="1"/>
  <c r="H4" i="2"/>
  <c r="AH82" i="2" s="1"/>
  <c r="H5" i="2"/>
  <c r="AH83" i="2" s="1"/>
  <c r="H6" i="2"/>
  <c r="AH84" i="2" s="1"/>
  <c r="H3" i="2"/>
  <c r="AH81" i="2" s="1"/>
  <c r="BE546" i="2" l="1"/>
  <c r="BE539" i="2" s="1"/>
  <c r="BD546" i="2"/>
  <c r="BD539" i="2" s="1"/>
  <c r="BC546" i="2"/>
  <c r="BC539" i="2" s="1"/>
  <c r="BB546" i="2"/>
  <c r="BB539" i="2" s="1"/>
  <c r="BE545" i="2"/>
  <c r="BE538" i="2" s="1"/>
  <c r="BD545" i="2"/>
  <c r="BD538" i="2" s="1"/>
  <c r="BC545" i="2"/>
  <c r="BC538" i="2" s="1"/>
  <c r="BB545" i="2"/>
  <c r="BB538" i="2" s="1"/>
  <c r="BE544" i="2"/>
  <c r="BE537" i="2" s="1"/>
  <c r="BD544" i="2"/>
  <c r="BD537" i="2" s="1"/>
  <c r="BC544" i="2"/>
  <c r="BC537" i="2" s="1"/>
  <c r="BB544" i="2"/>
  <c r="BB537" i="2" s="1"/>
  <c r="BE543" i="2"/>
  <c r="BE536" i="2" s="1"/>
  <c r="BD543" i="2"/>
  <c r="BD536" i="2" s="1"/>
  <c r="BC543" i="2"/>
  <c r="BC536" i="2" s="1"/>
  <c r="BB543" i="2"/>
  <c r="BB536" i="2" s="1"/>
  <c r="AM588" i="2" l="1"/>
  <c r="AP588" i="2"/>
  <c r="AO588" i="2"/>
  <c r="AN588" i="2"/>
  <c r="AN587" i="2"/>
  <c r="AM587" i="2"/>
  <c r="AP587" i="2"/>
  <c r="AO587" i="2"/>
  <c r="AO586" i="2"/>
  <c r="AN586" i="2"/>
  <c r="AM586" i="2"/>
  <c r="BL544" i="2"/>
  <c r="AP586" i="2"/>
  <c r="AP585" i="2"/>
  <c r="AO585" i="2"/>
  <c r="AN585" i="2"/>
  <c r="AM585" i="2"/>
  <c r="BE27" i="2"/>
  <c r="BE20" i="2" s="1"/>
  <c r="BD27" i="2"/>
  <c r="BD20" i="2" s="1"/>
  <c r="BC27" i="2"/>
  <c r="BC20" i="2" s="1"/>
  <c r="BB27" i="2"/>
  <c r="BB20" i="2" s="1"/>
  <c r="BE26" i="2"/>
  <c r="BE19" i="2" s="1"/>
  <c r="BD26" i="2"/>
  <c r="BD19" i="2" s="1"/>
  <c r="BC26" i="2"/>
  <c r="BC19" i="2" s="1"/>
  <c r="BB26" i="2"/>
  <c r="BB19" i="2" s="1"/>
  <c r="BE25" i="2"/>
  <c r="BE18" i="2" s="1"/>
  <c r="BD25" i="2"/>
  <c r="BD18" i="2" s="1"/>
  <c r="BC25" i="2"/>
  <c r="BC18" i="2" s="1"/>
  <c r="BB25" i="2"/>
  <c r="BB18" i="2" s="1"/>
  <c r="BE24" i="2"/>
  <c r="BE17" i="2" s="1"/>
  <c r="BD24" i="2"/>
  <c r="BD17" i="2" s="1"/>
  <c r="BC24" i="2"/>
  <c r="BC17" i="2" s="1"/>
  <c r="BB24" i="2"/>
  <c r="BB17" i="2" s="1"/>
  <c r="BN543" i="2" l="1"/>
  <c r="BM544" i="2"/>
  <c r="BL545" i="2"/>
  <c r="BO546" i="2"/>
  <c r="BO544" i="2"/>
  <c r="BO543" i="2"/>
  <c r="BO545" i="2"/>
  <c r="BN546" i="2"/>
  <c r="BN544" i="2"/>
  <c r="BN545" i="2"/>
  <c r="BM545" i="2"/>
  <c r="BM546" i="2"/>
  <c r="BM543" i="2"/>
  <c r="BL543" i="2"/>
  <c r="BL546" i="2"/>
  <c r="BO27" i="2"/>
  <c r="AP42" i="2" s="1"/>
  <c r="BO26" i="2"/>
  <c r="AP41" i="2" s="1"/>
  <c r="BO25" i="2"/>
  <c r="AP40" i="2" s="1"/>
  <c r="BO24" i="2"/>
  <c r="AP39" i="2" s="1"/>
  <c r="BN27" i="2"/>
  <c r="AO42" i="2" s="1"/>
  <c r="BN25" i="2"/>
  <c r="AO40" i="2" s="1"/>
  <c r="BN24" i="2"/>
  <c r="AO39" i="2" s="1"/>
  <c r="BN26" i="2"/>
  <c r="AO41" i="2" s="1"/>
  <c r="BM25" i="2"/>
  <c r="AN40" i="2" s="1"/>
  <c r="BM26" i="2"/>
  <c r="AN41" i="2" s="1"/>
  <c r="BM27" i="2"/>
  <c r="AN42" i="2" s="1"/>
  <c r="BM24" i="2"/>
  <c r="AN39" i="2" s="1"/>
  <c r="BL27" i="2"/>
  <c r="AM42" i="2" s="1"/>
  <c r="BL26" i="2"/>
  <c r="AM41" i="2" s="1"/>
  <c r="BL25" i="2"/>
  <c r="AM40" i="2" s="1"/>
  <c r="BL24" i="2"/>
  <c r="AM39" i="2" s="1"/>
  <c r="BE42" i="2"/>
  <c r="BE35" i="2" s="1"/>
  <c r="BD42" i="2"/>
  <c r="BD35" i="2" s="1"/>
  <c r="BC42" i="2"/>
  <c r="BC35" i="2" s="1"/>
  <c r="BE41" i="2"/>
  <c r="BE34" i="2" s="1"/>
  <c r="BD41" i="2"/>
  <c r="BD34" i="2" s="1"/>
  <c r="BC41" i="2"/>
  <c r="BC34" i="2" s="1"/>
  <c r="BB41" i="2"/>
  <c r="BB34" i="2" s="1"/>
  <c r="BE40" i="2"/>
  <c r="BE33" i="2" s="1"/>
  <c r="BD40" i="2"/>
  <c r="BD33" i="2" s="1"/>
  <c r="BC40" i="2"/>
  <c r="BC33" i="2" s="1"/>
  <c r="BB40" i="2"/>
  <c r="BB33" i="2" s="1"/>
  <c r="BE39" i="2"/>
  <c r="BE32" i="2" s="1"/>
  <c r="BD39" i="2"/>
  <c r="BD32" i="2" s="1"/>
  <c r="BC39" i="2"/>
  <c r="BC32" i="2" s="1"/>
  <c r="BB39" i="2"/>
  <c r="BB32" i="2" s="1"/>
  <c r="BE84" i="2"/>
  <c r="BE77" i="2" s="1"/>
  <c r="BD84" i="2"/>
  <c r="BD77" i="2" s="1"/>
  <c r="BC84" i="2"/>
  <c r="BC77" i="2" s="1"/>
  <c r="BB84" i="2"/>
  <c r="BB77" i="2" s="1"/>
  <c r="BE83" i="2"/>
  <c r="BE76" i="2" s="1"/>
  <c r="BD83" i="2"/>
  <c r="BD76" i="2" s="1"/>
  <c r="BC83" i="2"/>
  <c r="BC76" i="2" s="1"/>
  <c r="BB83" i="2"/>
  <c r="BB76" i="2" s="1"/>
  <c r="BE82" i="2"/>
  <c r="BE75" i="2" s="1"/>
  <c r="BD82" i="2"/>
  <c r="BD75" i="2" s="1"/>
  <c r="BC82" i="2"/>
  <c r="BC75" i="2" s="1"/>
  <c r="BB82" i="2"/>
  <c r="BB75" i="2" s="1"/>
  <c r="BE81" i="2"/>
  <c r="BE74" i="2" s="1"/>
  <c r="BD81" i="2"/>
  <c r="BD74" i="2" s="1"/>
  <c r="BC81" i="2"/>
  <c r="BC74" i="2" s="1"/>
  <c r="BB81" i="2"/>
  <c r="BB74" i="2" s="1"/>
  <c r="BQ90" i="2" l="1"/>
  <c r="BN78" i="2"/>
  <c r="BM78" i="2"/>
  <c r="BP90" i="2"/>
  <c r="BL78" i="2"/>
  <c r="BO90" i="2"/>
  <c r="BO9" i="2"/>
  <c r="BL39" i="2"/>
  <c r="BL40" i="2"/>
  <c r="BO42" i="2"/>
  <c r="BO41" i="2"/>
  <c r="BO40" i="2"/>
  <c r="BO39" i="2"/>
  <c r="BN42" i="2"/>
  <c r="BN40" i="2"/>
  <c r="BN41" i="2"/>
  <c r="BN39" i="2"/>
  <c r="BM40" i="2"/>
  <c r="BM41" i="2"/>
  <c r="BM42" i="2"/>
  <c r="BM39" i="2"/>
  <c r="BL42" i="2"/>
  <c r="BL41" i="2"/>
  <c r="BN90" i="2"/>
  <c r="BN82" i="2"/>
  <c r="BN81" i="2"/>
  <c r="BN83" i="2"/>
  <c r="BN84" i="2"/>
  <c r="BM82" i="2"/>
  <c r="BM84" i="2"/>
  <c r="BK78" i="2"/>
  <c r="BM81" i="2"/>
  <c r="BM83" i="2"/>
  <c r="BL81" i="2"/>
  <c r="BL84" i="2"/>
  <c r="BL83" i="2"/>
  <c r="BL82" i="2"/>
  <c r="BN491" i="2"/>
  <c r="BM491" i="2"/>
  <c r="BL491" i="2"/>
  <c r="BJ491" i="2"/>
  <c r="BE504" i="2"/>
  <c r="BE497" i="2" s="1"/>
  <c r="BD504" i="2"/>
  <c r="BD497" i="2" s="1"/>
  <c r="BC504" i="2"/>
  <c r="BC497" i="2" s="1"/>
  <c r="BB504" i="2"/>
  <c r="BB497" i="2" s="1"/>
  <c r="BE503" i="2"/>
  <c r="BE496" i="2" s="1"/>
  <c r="BD503" i="2"/>
  <c r="BD496" i="2" s="1"/>
  <c r="BC503" i="2"/>
  <c r="BC496" i="2" s="1"/>
  <c r="BB503" i="2"/>
  <c r="BB496" i="2" s="1"/>
  <c r="BE502" i="2"/>
  <c r="BE495" i="2" s="1"/>
  <c r="BD502" i="2"/>
  <c r="BD495" i="2" s="1"/>
  <c r="BC502" i="2"/>
  <c r="BC495" i="2" s="1"/>
  <c r="BB502" i="2"/>
  <c r="BB495" i="2" s="1"/>
  <c r="BE501" i="2"/>
  <c r="BE494" i="2" s="1"/>
  <c r="BD501" i="2"/>
  <c r="BD494" i="2" s="1"/>
  <c r="BC501" i="2"/>
  <c r="BC494" i="2" s="1"/>
  <c r="BB501" i="2"/>
  <c r="BB494" i="2" s="1"/>
  <c r="BN449" i="2"/>
  <c r="BL449" i="2"/>
  <c r="BE462" i="2"/>
  <c r="BE455" i="2" s="1"/>
  <c r="BD462" i="2"/>
  <c r="BD455" i="2" s="1"/>
  <c r="BC462" i="2"/>
  <c r="BB462" i="2"/>
  <c r="BB455" i="2" s="1"/>
  <c r="BE461" i="2"/>
  <c r="BE454" i="2" s="1"/>
  <c r="BD461" i="2"/>
  <c r="BD454" i="2" s="1"/>
  <c r="BC461" i="2"/>
  <c r="BC454" i="2" s="1"/>
  <c r="BB461" i="2"/>
  <c r="BB454" i="2" s="1"/>
  <c r="BE460" i="2"/>
  <c r="BE453" i="2" s="1"/>
  <c r="BD460" i="2"/>
  <c r="BD453" i="2" s="1"/>
  <c r="BC460" i="2"/>
  <c r="BC453" i="2" s="1"/>
  <c r="BB460" i="2"/>
  <c r="BB453" i="2" s="1"/>
  <c r="BE459" i="2"/>
  <c r="BE452" i="2" s="1"/>
  <c r="BD459" i="2"/>
  <c r="BD452" i="2" s="1"/>
  <c r="BC459" i="2"/>
  <c r="BC452" i="2" s="1"/>
  <c r="BB459" i="2"/>
  <c r="BB452" i="2" s="1"/>
  <c r="BC455" i="2" l="1"/>
  <c r="BM449" i="2" s="1"/>
  <c r="BN498" i="2"/>
  <c r="BM498" i="2"/>
  <c r="BL498" i="2"/>
  <c r="BO503" i="2"/>
  <c r="AP545" i="2" s="1"/>
  <c r="BN456" i="2"/>
  <c r="BM456" i="2"/>
  <c r="BO459" i="2"/>
  <c r="AP501" i="2" s="1"/>
  <c r="BL456" i="2"/>
  <c r="BO460" i="2"/>
  <c r="AP502" i="2" s="1"/>
  <c r="AZ447" i="2"/>
  <c r="BA447" i="2"/>
  <c r="BJ449" i="2"/>
  <c r="BL92" i="2"/>
  <c r="BO83" i="2"/>
  <c r="BO82" i="2"/>
  <c r="BO84" i="2"/>
  <c r="BO81" i="2"/>
  <c r="BO501" i="2"/>
  <c r="AP543" i="2" s="1"/>
  <c r="BO504" i="2"/>
  <c r="AP546" i="2" s="1"/>
  <c r="BN503" i="2"/>
  <c r="AO545" i="2" s="1"/>
  <c r="BN501" i="2"/>
  <c r="AO543" i="2" s="1"/>
  <c r="BN502" i="2"/>
  <c r="AO544" i="2" s="1"/>
  <c r="BN504" i="2"/>
  <c r="AO546" i="2" s="1"/>
  <c r="BM504" i="2"/>
  <c r="AN546" i="2" s="1"/>
  <c r="BM501" i="2"/>
  <c r="AN543" i="2" s="1"/>
  <c r="BM502" i="2"/>
  <c r="AN544" i="2" s="1"/>
  <c r="BM503" i="2"/>
  <c r="AN545" i="2" s="1"/>
  <c r="BL503" i="2"/>
  <c r="AM545" i="2" s="1"/>
  <c r="BL501" i="2"/>
  <c r="AM543" i="2" s="1"/>
  <c r="BL504" i="2"/>
  <c r="AM546" i="2" s="1"/>
  <c r="BL502" i="2"/>
  <c r="AM544" i="2" s="1"/>
  <c r="BK456" i="2"/>
  <c r="BN459" i="2"/>
  <c r="AO501" i="2" s="1"/>
  <c r="BN461" i="2"/>
  <c r="AO503" i="2" s="1"/>
  <c r="BN462" i="2"/>
  <c r="AO504" i="2" s="1"/>
  <c r="BN460" i="2"/>
  <c r="AO502" i="2" s="1"/>
  <c r="BM462" i="2"/>
  <c r="AN504" i="2" s="1"/>
  <c r="BM459" i="2"/>
  <c r="AN501" i="2" s="1"/>
  <c r="BM461" i="2"/>
  <c r="AN503" i="2" s="1"/>
  <c r="BM460" i="2"/>
  <c r="AN502" i="2" s="1"/>
  <c r="BL462" i="2"/>
  <c r="AM504" i="2" s="1"/>
  <c r="BL459" i="2"/>
  <c r="AM501" i="2" s="1"/>
  <c r="BL460" i="2"/>
  <c r="AM502" i="2" s="1"/>
  <c r="BL461" i="2"/>
  <c r="AM503" i="2" s="1"/>
  <c r="BK498" i="2"/>
  <c r="BN407" i="2"/>
  <c r="BM407" i="2"/>
  <c r="BL407" i="2"/>
  <c r="BJ407" i="2"/>
  <c r="BE420" i="2"/>
  <c r="BE413" i="2" s="1"/>
  <c r="BD420" i="2"/>
  <c r="BD413" i="2" s="1"/>
  <c r="BC420" i="2"/>
  <c r="BC413" i="2" s="1"/>
  <c r="BB420" i="2"/>
  <c r="BB413" i="2" s="1"/>
  <c r="BE419" i="2"/>
  <c r="BE412" i="2" s="1"/>
  <c r="BD419" i="2"/>
  <c r="BD412" i="2" s="1"/>
  <c r="BC419" i="2"/>
  <c r="BC412" i="2" s="1"/>
  <c r="BB419" i="2"/>
  <c r="BB412" i="2" s="1"/>
  <c r="BE418" i="2"/>
  <c r="BE411" i="2" s="1"/>
  <c r="BD418" i="2"/>
  <c r="BD411" i="2" s="1"/>
  <c r="BC418" i="2"/>
  <c r="BC411" i="2" s="1"/>
  <c r="BB418" i="2"/>
  <c r="BB411" i="2" s="1"/>
  <c r="BE417" i="2"/>
  <c r="BE410" i="2" s="1"/>
  <c r="BD417" i="2"/>
  <c r="BD410" i="2" s="1"/>
  <c r="BC417" i="2"/>
  <c r="BC410" i="2" s="1"/>
  <c r="BB417" i="2"/>
  <c r="BB410" i="2" s="1"/>
  <c r="BL495" i="2" l="1"/>
  <c r="BL453" i="2"/>
  <c r="BO502" i="2"/>
  <c r="AP544" i="2" s="1"/>
  <c r="BO461" i="2"/>
  <c r="AP503" i="2" s="1"/>
  <c r="BO462" i="2"/>
  <c r="AP504" i="2" s="1"/>
  <c r="BN414" i="2"/>
  <c r="BM414" i="2"/>
  <c r="BL414" i="2"/>
  <c r="BO420" i="2"/>
  <c r="AP462" i="2" s="1"/>
  <c r="BO417" i="2"/>
  <c r="AP459" i="2" s="1"/>
  <c r="BO419" i="2"/>
  <c r="AP461" i="2" s="1"/>
  <c r="BN419" i="2"/>
  <c r="AO461" i="2" s="1"/>
  <c r="BN417" i="2"/>
  <c r="AO459" i="2" s="1"/>
  <c r="BN418" i="2"/>
  <c r="AO460" i="2" s="1"/>
  <c r="BN420" i="2"/>
  <c r="AO462" i="2" s="1"/>
  <c r="BM420" i="2"/>
  <c r="AN462" i="2" s="1"/>
  <c r="BM418" i="2"/>
  <c r="AN460" i="2" s="1"/>
  <c r="BM419" i="2"/>
  <c r="AN461" i="2" s="1"/>
  <c r="BM417" i="2"/>
  <c r="AN459" i="2" s="1"/>
  <c r="BL419" i="2"/>
  <c r="AM461" i="2" s="1"/>
  <c r="BL420" i="2"/>
  <c r="AM462" i="2" s="1"/>
  <c r="BL418" i="2"/>
  <c r="AM460" i="2" s="1"/>
  <c r="BL417" i="2"/>
  <c r="AM459" i="2" s="1"/>
  <c r="BK414" i="2"/>
  <c r="BN365" i="2"/>
  <c r="BM365" i="2"/>
  <c r="BL365" i="2"/>
  <c r="BJ365" i="2"/>
  <c r="BE378" i="2"/>
  <c r="BE371" i="2" s="1"/>
  <c r="BD378" i="2"/>
  <c r="BD371" i="2" s="1"/>
  <c r="BC378" i="2"/>
  <c r="BC371" i="2" s="1"/>
  <c r="BB378" i="2"/>
  <c r="BB371" i="2" s="1"/>
  <c r="BE377" i="2"/>
  <c r="BE370" i="2" s="1"/>
  <c r="BD377" i="2"/>
  <c r="BD370" i="2" s="1"/>
  <c r="BC377" i="2"/>
  <c r="BC370" i="2" s="1"/>
  <c r="BB377" i="2"/>
  <c r="BB370" i="2" s="1"/>
  <c r="BE376" i="2"/>
  <c r="BE369" i="2" s="1"/>
  <c r="BD376" i="2"/>
  <c r="BD369" i="2" s="1"/>
  <c r="BC376" i="2"/>
  <c r="BC369" i="2" s="1"/>
  <c r="BB376" i="2"/>
  <c r="BB369" i="2" s="1"/>
  <c r="BE375" i="2"/>
  <c r="BE368" i="2" s="1"/>
  <c r="BD375" i="2"/>
  <c r="BD368" i="2" s="1"/>
  <c r="BC375" i="2"/>
  <c r="BC368" i="2" s="1"/>
  <c r="BB375" i="2"/>
  <c r="BB368" i="2" s="1"/>
  <c r="BN323" i="2"/>
  <c r="BM323" i="2"/>
  <c r="BL323" i="2"/>
  <c r="BJ323" i="2"/>
  <c r="BE336" i="2"/>
  <c r="BE329" i="2" s="1"/>
  <c r="BD336" i="2"/>
  <c r="BD329" i="2" s="1"/>
  <c r="BC336" i="2"/>
  <c r="BC329" i="2" s="1"/>
  <c r="BB336" i="2"/>
  <c r="BB329" i="2" s="1"/>
  <c r="BE335" i="2"/>
  <c r="BE328" i="2" s="1"/>
  <c r="BD335" i="2"/>
  <c r="BD328" i="2" s="1"/>
  <c r="BC335" i="2"/>
  <c r="BC328" i="2" s="1"/>
  <c r="BB335" i="2"/>
  <c r="BB328" i="2" s="1"/>
  <c r="BE334" i="2"/>
  <c r="BE327" i="2" s="1"/>
  <c r="BD334" i="2"/>
  <c r="BD327" i="2" s="1"/>
  <c r="BC334" i="2"/>
  <c r="BC327" i="2" s="1"/>
  <c r="BB334" i="2"/>
  <c r="BB327" i="2" s="1"/>
  <c r="BE333" i="2"/>
  <c r="BE326" i="2" s="1"/>
  <c r="BD333" i="2"/>
  <c r="BD326" i="2" s="1"/>
  <c r="BC333" i="2"/>
  <c r="BC326" i="2" s="1"/>
  <c r="BB333" i="2"/>
  <c r="BB326" i="2" s="1"/>
  <c r="BN281" i="2"/>
  <c r="BL281" i="2"/>
  <c r="BJ281" i="2"/>
  <c r="BE294" i="2"/>
  <c r="BE287" i="2" s="1"/>
  <c r="BD294" i="2"/>
  <c r="BD287" i="2" s="1"/>
  <c r="BC294" i="2"/>
  <c r="BB294" i="2"/>
  <c r="BB287" i="2" s="1"/>
  <c r="BE293" i="2"/>
  <c r="BE286" i="2" s="1"/>
  <c r="BD293" i="2"/>
  <c r="BD286" i="2" s="1"/>
  <c r="BC293" i="2"/>
  <c r="BC286" i="2" s="1"/>
  <c r="BB293" i="2"/>
  <c r="BB286" i="2" s="1"/>
  <c r="BE292" i="2"/>
  <c r="BE285" i="2" s="1"/>
  <c r="BD292" i="2"/>
  <c r="BD285" i="2" s="1"/>
  <c r="BC292" i="2"/>
  <c r="BC285" i="2" s="1"/>
  <c r="BB292" i="2"/>
  <c r="BB285" i="2" s="1"/>
  <c r="BE291" i="2"/>
  <c r="BE284" i="2" s="1"/>
  <c r="BD291" i="2"/>
  <c r="BD284" i="2" s="1"/>
  <c r="BC291" i="2"/>
  <c r="BC284" i="2" s="1"/>
  <c r="BB291" i="2"/>
  <c r="BB284" i="2" s="1"/>
  <c r="BL239" i="2"/>
  <c r="BN239" i="2"/>
  <c r="BJ239" i="2"/>
  <c r="BE252" i="2"/>
  <c r="BE245" i="2" s="1"/>
  <c r="BD252" i="2"/>
  <c r="BD245" i="2" s="1"/>
  <c r="BC252" i="2"/>
  <c r="BB252" i="2"/>
  <c r="BB245" i="2" s="1"/>
  <c r="BE251" i="2"/>
  <c r="BE244" i="2" s="1"/>
  <c r="BD251" i="2"/>
  <c r="BD244" i="2" s="1"/>
  <c r="BC251" i="2"/>
  <c r="BC244" i="2" s="1"/>
  <c r="BB251" i="2"/>
  <c r="BB244" i="2" s="1"/>
  <c r="BE250" i="2"/>
  <c r="BE243" i="2" s="1"/>
  <c r="BD250" i="2"/>
  <c r="BD243" i="2" s="1"/>
  <c r="BC250" i="2"/>
  <c r="BC243" i="2" s="1"/>
  <c r="BB250" i="2"/>
  <c r="BB243" i="2" s="1"/>
  <c r="BE249" i="2"/>
  <c r="BE242" i="2" s="1"/>
  <c r="BD249" i="2"/>
  <c r="BD242" i="2" s="1"/>
  <c r="BC249" i="2"/>
  <c r="BC242" i="2" s="1"/>
  <c r="BB249" i="2"/>
  <c r="BB242" i="2" s="1"/>
  <c r="BN196" i="2"/>
  <c r="BJ196" i="2"/>
  <c r="BE210" i="2"/>
  <c r="BE203" i="2" s="1"/>
  <c r="BD210" i="2"/>
  <c r="BD203" i="2" s="1"/>
  <c r="BC210" i="2"/>
  <c r="BC203" i="2" s="1"/>
  <c r="BB210" i="2"/>
  <c r="BB203" i="2" s="1"/>
  <c r="BE209" i="2"/>
  <c r="BE202" i="2" s="1"/>
  <c r="BD209" i="2"/>
  <c r="BD202" i="2" s="1"/>
  <c r="BC209" i="2"/>
  <c r="BC202" i="2" s="1"/>
  <c r="BB209" i="2"/>
  <c r="BB202" i="2" s="1"/>
  <c r="BE208" i="2"/>
  <c r="BE201" i="2" s="1"/>
  <c r="BD208" i="2"/>
  <c r="BD201" i="2" s="1"/>
  <c r="BC208" i="2"/>
  <c r="BC201" i="2" s="1"/>
  <c r="BB208" i="2"/>
  <c r="BB201" i="2" s="1"/>
  <c r="BE207" i="2"/>
  <c r="BE200" i="2" s="1"/>
  <c r="BD207" i="2"/>
  <c r="BD200" i="2" s="1"/>
  <c r="BC207" i="2"/>
  <c r="BC200" i="2" s="1"/>
  <c r="BB207" i="2"/>
  <c r="BB200" i="2" s="1"/>
  <c r="BN154" i="2"/>
  <c r="BJ154" i="2"/>
  <c r="BE168" i="2"/>
  <c r="BE161" i="2" s="1"/>
  <c r="BD168" i="2"/>
  <c r="BD161" i="2" s="1"/>
  <c r="BC168" i="2"/>
  <c r="BC161" i="2" s="1"/>
  <c r="BB168" i="2"/>
  <c r="BB161" i="2" s="1"/>
  <c r="BE167" i="2"/>
  <c r="BE160" i="2" s="1"/>
  <c r="BD167" i="2"/>
  <c r="BD160" i="2" s="1"/>
  <c r="BC167" i="2"/>
  <c r="BC160" i="2" s="1"/>
  <c r="BB167" i="2"/>
  <c r="BB160" i="2" s="1"/>
  <c r="BE166" i="2"/>
  <c r="BE159" i="2" s="1"/>
  <c r="BD166" i="2"/>
  <c r="BD159" i="2" s="1"/>
  <c r="BC166" i="2"/>
  <c r="BC159" i="2" s="1"/>
  <c r="BB166" i="2"/>
  <c r="BB159" i="2" s="1"/>
  <c r="BE165" i="2"/>
  <c r="BE158" i="2" s="1"/>
  <c r="BD165" i="2"/>
  <c r="BD158" i="2" s="1"/>
  <c r="BC165" i="2"/>
  <c r="BC158" i="2" s="1"/>
  <c r="BB165" i="2"/>
  <c r="BB158" i="2" s="1"/>
  <c r="BN112" i="2"/>
  <c r="BJ112" i="2"/>
  <c r="BE126" i="2"/>
  <c r="BE119" i="2" s="1"/>
  <c r="BD126" i="2"/>
  <c r="BD119" i="2" s="1"/>
  <c r="BC126" i="2"/>
  <c r="BC119" i="2" s="1"/>
  <c r="BB126" i="2"/>
  <c r="BB119" i="2" s="1"/>
  <c r="BE125" i="2"/>
  <c r="BE118" i="2" s="1"/>
  <c r="BD125" i="2"/>
  <c r="BD118" i="2" s="1"/>
  <c r="BC125" i="2"/>
  <c r="BC118" i="2" s="1"/>
  <c r="BB125" i="2"/>
  <c r="BB118" i="2" s="1"/>
  <c r="BE124" i="2"/>
  <c r="BE117" i="2" s="1"/>
  <c r="BD124" i="2"/>
  <c r="BD117" i="2" s="1"/>
  <c r="BC124" i="2"/>
  <c r="BC117" i="2" s="1"/>
  <c r="BB124" i="2"/>
  <c r="BB117" i="2" s="1"/>
  <c r="BE123" i="2"/>
  <c r="BE116" i="2" s="1"/>
  <c r="BD123" i="2"/>
  <c r="BD116" i="2" s="1"/>
  <c r="BC123" i="2"/>
  <c r="BC116" i="2" s="1"/>
  <c r="BB123" i="2"/>
  <c r="BB116" i="2" s="1"/>
  <c r="AN123" i="2"/>
  <c r="AO123" i="2"/>
  <c r="AP123" i="2"/>
  <c r="AN124" i="2"/>
  <c r="AO124" i="2"/>
  <c r="AP124" i="2"/>
  <c r="AN125" i="2"/>
  <c r="AO125" i="2"/>
  <c r="AP125" i="2"/>
  <c r="AN126" i="2"/>
  <c r="AO126" i="2"/>
  <c r="AP126" i="2"/>
  <c r="AM124" i="2"/>
  <c r="AM125" i="2"/>
  <c r="AM126" i="2"/>
  <c r="AM123" i="2"/>
  <c r="BL411" i="2" l="1"/>
  <c r="BC287" i="2"/>
  <c r="BM281" i="2" s="1"/>
  <c r="BC245" i="2"/>
  <c r="BM239" i="2" s="1"/>
  <c r="BO418" i="2"/>
  <c r="AP460" i="2" s="1"/>
  <c r="BN372" i="2"/>
  <c r="BO376" i="2"/>
  <c r="AP418" i="2" s="1"/>
  <c r="BM372" i="2"/>
  <c r="BL372" i="2"/>
  <c r="BN330" i="2"/>
  <c r="BM330" i="2"/>
  <c r="BO336" i="2"/>
  <c r="AP378" i="2" s="1"/>
  <c r="BL330" i="2"/>
  <c r="BO333" i="2"/>
  <c r="AP375" i="2" s="1"/>
  <c r="BN288" i="2"/>
  <c r="BO291" i="2"/>
  <c r="AP333" i="2" s="1"/>
  <c r="BM288" i="2"/>
  <c r="BL288" i="2"/>
  <c r="BO292" i="2"/>
  <c r="AP334" i="2" s="1"/>
  <c r="BN246" i="2"/>
  <c r="BM246" i="2"/>
  <c r="BL246" i="2"/>
  <c r="BO249" i="2"/>
  <c r="AP291" i="2" s="1"/>
  <c r="BN203" i="2"/>
  <c r="BM203" i="2"/>
  <c r="BM196" i="2"/>
  <c r="BM208" i="2"/>
  <c r="AN250" i="2" s="1"/>
  <c r="BL203" i="2"/>
  <c r="BO209" i="2"/>
  <c r="AP251" i="2" s="1"/>
  <c r="BN161" i="2"/>
  <c r="BM161" i="2"/>
  <c r="BM154" i="2"/>
  <c r="BL161" i="2"/>
  <c r="BN119" i="2"/>
  <c r="BM119" i="2"/>
  <c r="BK119" i="2"/>
  <c r="BL116" i="2" s="1"/>
  <c r="BM112" i="2"/>
  <c r="BL119" i="2"/>
  <c r="BO375" i="2"/>
  <c r="AP417" i="2" s="1"/>
  <c r="BO378" i="2"/>
  <c r="AP420" i="2" s="1"/>
  <c r="BO377" i="2"/>
  <c r="AP419" i="2" s="1"/>
  <c r="BN377" i="2"/>
  <c r="AO419" i="2" s="1"/>
  <c r="BN375" i="2"/>
  <c r="AO417" i="2" s="1"/>
  <c r="BN376" i="2"/>
  <c r="AO418" i="2" s="1"/>
  <c r="BN378" i="2"/>
  <c r="AO420" i="2" s="1"/>
  <c r="BM378" i="2"/>
  <c r="AN420" i="2" s="1"/>
  <c r="BM375" i="2"/>
  <c r="AN417" i="2" s="1"/>
  <c r="BM377" i="2"/>
  <c r="AN419" i="2" s="1"/>
  <c r="BM376" i="2"/>
  <c r="AN418" i="2" s="1"/>
  <c r="BL377" i="2"/>
  <c r="AM419" i="2" s="1"/>
  <c r="BL378" i="2"/>
  <c r="AM420" i="2" s="1"/>
  <c r="BL376" i="2"/>
  <c r="AM418" i="2" s="1"/>
  <c r="BL375" i="2"/>
  <c r="AM417" i="2" s="1"/>
  <c r="BK330" i="2"/>
  <c r="BO334" i="2"/>
  <c r="AP376" i="2" s="1"/>
  <c r="BO335" i="2"/>
  <c r="AP377" i="2" s="1"/>
  <c r="BN333" i="2"/>
  <c r="AO375" i="2" s="1"/>
  <c r="BN335" i="2"/>
  <c r="AO377" i="2" s="1"/>
  <c r="BN336" i="2"/>
  <c r="AO378" i="2" s="1"/>
  <c r="BN334" i="2"/>
  <c r="AO376" i="2" s="1"/>
  <c r="BM336" i="2"/>
  <c r="AN378" i="2" s="1"/>
  <c r="BM335" i="2"/>
  <c r="AN377" i="2" s="1"/>
  <c r="BM333" i="2"/>
  <c r="AN375" i="2" s="1"/>
  <c r="BM334" i="2"/>
  <c r="AN376" i="2" s="1"/>
  <c r="BL335" i="2"/>
  <c r="AM377" i="2" s="1"/>
  <c r="BL336" i="2"/>
  <c r="AM378" i="2" s="1"/>
  <c r="BL334" i="2"/>
  <c r="AM376" i="2" s="1"/>
  <c r="BL333" i="2"/>
  <c r="AM375" i="2" s="1"/>
  <c r="BK246" i="2"/>
  <c r="BO250" i="2"/>
  <c r="AP292" i="2" s="1"/>
  <c r="BO251" i="2"/>
  <c r="AP293" i="2" s="1"/>
  <c r="BO252" i="2"/>
  <c r="AP294" i="2" s="1"/>
  <c r="BN251" i="2"/>
  <c r="AO293" i="2" s="1"/>
  <c r="BN249" i="2"/>
  <c r="AO291" i="2" s="1"/>
  <c r="BN252" i="2"/>
  <c r="AO294" i="2" s="1"/>
  <c r="BN250" i="2"/>
  <c r="AO292" i="2" s="1"/>
  <c r="BM249" i="2"/>
  <c r="AN291" i="2" s="1"/>
  <c r="BM251" i="2"/>
  <c r="AN293" i="2" s="1"/>
  <c r="BL251" i="2"/>
  <c r="AM293" i="2" s="1"/>
  <c r="BL249" i="2"/>
  <c r="AM291" i="2" s="1"/>
  <c r="BL252" i="2"/>
  <c r="AM294" i="2" s="1"/>
  <c r="BL250" i="2"/>
  <c r="AM292" i="2" s="1"/>
  <c r="BK203" i="2"/>
  <c r="BO208" i="2"/>
  <c r="AP250" i="2" s="1"/>
  <c r="BO207" i="2"/>
  <c r="AP249" i="2" s="1"/>
  <c r="BO210" i="2"/>
  <c r="AP252" i="2" s="1"/>
  <c r="BN207" i="2"/>
  <c r="AO249" i="2" s="1"/>
  <c r="BN210" i="2"/>
  <c r="AO252" i="2" s="1"/>
  <c r="BN209" i="2"/>
  <c r="AO251" i="2" s="1"/>
  <c r="BN208" i="2"/>
  <c r="AO250" i="2" s="1"/>
  <c r="BL196" i="2"/>
  <c r="BM210" i="2"/>
  <c r="AN252" i="2" s="1"/>
  <c r="BM207" i="2"/>
  <c r="AN249" i="2" s="1"/>
  <c r="BM209" i="2"/>
  <c r="AN251" i="2" s="1"/>
  <c r="BL209" i="2"/>
  <c r="AM251" i="2" s="1"/>
  <c r="BL210" i="2"/>
  <c r="AM252" i="2" s="1"/>
  <c r="BL208" i="2"/>
  <c r="AM250" i="2" s="1"/>
  <c r="BL207" i="2"/>
  <c r="AM249" i="2" s="1"/>
  <c r="BO166" i="2"/>
  <c r="AP208" i="2" s="1"/>
  <c r="BO165" i="2"/>
  <c r="AP207" i="2" s="1"/>
  <c r="BO168" i="2"/>
  <c r="AP210" i="2" s="1"/>
  <c r="BO167" i="2"/>
  <c r="AP209" i="2" s="1"/>
  <c r="BN165" i="2"/>
  <c r="AO207" i="2" s="1"/>
  <c r="BN167" i="2"/>
  <c r="AO209" i="2" s="1"/>
  <c r="BN166" i="2"/>
  <c r="AO208" i="2" s="1"/>
  <c r="BN168" i="2"/>
  <c r="AO210" i="2" s="1"/>
  <c r="BM168" i="2"/>
  <c r="AN210" i="2" s="1"/>
  <c r="BM165" i="2"/>
  <c r="AN207" i="2" s="1"/>
  <c r="BM166" i="2"/>
  <c r="AN208" i="2" s="1"/>
  <c r="BM167" i="2"/>
  <c r="AN209" i="2" s="1"/>
  <c r="BL167" i="2"/>
  <c r="AM209" i="2" s="1"/>
  <c r="BL168" i="2"/>
  <c r="AM210" i="2" s="1"/>
  <c r="BL166" i="2"/>
  <c r="AM208" i="2" s="1"/>
  <c r="BL165" i="2"/>
  <c r="AM207" i="2" s="1"/>
  <c r="BO124" i="2"/>
  <c r="AP166" i="2" s="1"/>
  <c r="BO126" i="2"/>
  <c r="AP168" i="2" s="1"/>
  <c r="BO123" i="2"/>
  <c r="AP165" i="2" s="1"/>
  <c r="BO125" i="2"/>
  <c r="AP167" i="2" s="1"/>
  <c r="BN123" i="2"/>
  <c r="AO165" i="2" s="1"/>
  <c r="BN125" i="2"/>
  <c r="AO167" i="2" s="1"/>
  <c r="BN126" i="2"/>
  <c r="AO168" i="2" s="1"/>
  <c r="BN124" i="2"/>
  <c r="AO166" i="2" s="1"/>
  <c r="BL112" i="2"/>
  <c r="BM126" i="2"/>
  <c r="AN168" i="2" s="1"/>
  <c r="BM123" i="2"/>
  <c r="AN165" i="2" s="1"/>
  <c r="BM125" i="2"/>
  <c r="AN167" i="2" s="1"/>
  <c r="BM124" i="2"/>
  <c r="AN166" i="2" s="1"/>
  <c r="BL125" i="2"/>
  <c r="AM167" i="2" s="1"/>
  <c r="BL123" i="2"/>
  <c r="AM165" i="2" s="1"/>
  <c r="BL126" i="2"/>
  <c r="AM168" i="2" s="1"/>
  <c r="BL124" i="2"/>
  <c r="AM166" i="2" s="1"/>
  <c r="BK372" i="2"/>
  <c r="BK288" i="2"/>
  <c r="BO294" i="2"/>
  <c r="AP336" i="2" s="1"/>
  <c r="BO293" i="2"/>
  <c r="AP335" i="2" s="1"/>
  <c r="BN294" i="2"/>
  <c r="AO336" i="2" s="1"/>
  <c r="BN292" i="2"/>
  <c r="AO334" i="2" s="1"/>
  <c r="BN293" i="2"/>
  <c r="AO335" i="2" s="1"/>
  <c r="BN291" i="2"/>
  <c r="AO333" i="2" s="1"/>
  <c r="BM292" i="2"/>
  <c r="AN334" i="2" s="1"/>
  <c r="BM293" i="2"/>
  <c r="AN335" i="2" s="1"/>
  <c r="BM291" i="2"/>
  <c r="AN333" i="2" s="1"/>
  <c r="BL294" i="2"/>
  <c r="AM336" i="2" s="1"/>
  <c r="BL293" i="2"/>
  <c r="AM335" i="2" s="1"/>
  <c r="BL292" i="2"/>
  <c r="AM334" i="2" s="1"/>
  <c r="BL291" i="2"/>
  <c r="AM333" i="2" s="1"/>
  <c r="BK161" i="2"/>
  <c r="BL154" i="2"/>
  <c r="BN71" i="2"/>
  <c r="BJ71" i="2"/>
  <c r="BM71" i="2"/>
  <c r="BL71" i="2"/>
  <c r="AO81" i="2"/>
  <c r="AP81" i="2"/>
  <c r="AO82" i="2"/>
  <c r="AP82" i="2"/>
  <c r="AO83" i="2"/>
  <c r="AP83" i="2"/>
  <c r="AO84" i="2"/>
  <c r="AP84" i="2"/>
  <c r="BL327" i="2" l="1"/>
  <c r="BL200" i="2"/>
  <c r="BL369" i="2"/>
  <c r="BM294" i="2"/>
  <c r="AN336" i="2" s="1"/>
  <c r="BL285" i="2"/>
  <c r="BM252" i="2"/>
  <c r="AN294" i="2" s="1"/>
  <c r="BM250" i="2"/>
  <c r="AN292" i="2" s="1"/>
  <c r="BL243" i="2"/>
  <c r="BL158" i="2"/>
  <c r="BV126" i="2"/>
  <c r="BL75" i="2"/>
  <c r="BN9" i="2"/>
  <c r="BM9" i="2"/>
  <c r="AM81" i="2"/>
  <c r="AH6" i="3"/>
  <c r="AG6" i="3"/>
  <c r="AF6" i="3"/>
  <c r="AE6" i="3"/>
  <c r="AH5" i="3"/>
  <c r="AG5" i="3"/>
  <c r="AF5" i="3"/>
  <c r="AE5" i="3"/>
  <c r="AH4" i="3"/>
  <c r="AG4" i="3"/>
  <c r="AF4" i="3"/>
  <c r="AE4" i="3"/>
  <c r="AH3" i="3"/>
  <c r="AG3" i="3"/>
  <c r="AF3" i="3"/>
  <c r="AE3" i="3"/>
  <c r="AM84" i="2" l="1"/>
  <c r="AN81" i="2"/>
  <c r="BK9" i="2"/>
  <c r="AM82" i="2"/>
  <c r="AN82" i="2"/>
  <c r="AM83" i="2"/>
  <c r="AN83" i="2"/>
  <c r="AN84" i="2"/>
  <c r="BL12" i="2"/>
  <c r="U16" i="3" l="1"/>
  <c r="U15" i="3" l="1"/>
  <c r="V3" i="3"/>
  <c r="U3" i="3"/>
  <c r="W3" i="3"/>
  <c r="S3" i="3"/>
  <c r="S4" i="3"/>
  <c r="R4" i="3"/>
  <c r="R3" i="3"/>
  <c r="D3" i="3" l="1"/>
  <c r="AD4" i="2" l="1"/>
  <c r="AD5" i="2"/>
  <c r="AD6" i="2"/>
  <c r="AD3" i="2"/>
  <c r="AA4" i="2"/>
  <c r="AA5" i="2"/>
  <c r="AA6" i="2"/>
  <c r="AA3" i="2"/>
  <c r="X4" i="2"/>
  <c r="X5" i="2"/>
  <c r="X6" i="2"/>
  <c r="X3" i="2"/>
  <c r="U4" i="2"/>
  <c r="U10" i="2" s="1"/>
  <c r="V10" i="2" s="1"/>
  <c r="AH208" i="2" s="1"/>
  <c r="U5" i="2"/>
  <c r="U11" i="2" s="1"/>
  <c r="V11" i="2" s="1"/>
  <c r="AH209" i="2" s="1"/>
  <c r="U6" i="2"/>
  <c r="Y6" i="2" s="1"/>
  <c r="AI126" i="2" s="1"/>
  <c r="U3" i="2"/>
  <c r="U9" i="2" s="1"/>
  <c r="V9" i="2" s="1"/>
  <c r="AH207" i="2" s="1"/>
  <c r="P4" i="2"/>
  <c r="P5" i="2"/>
  <c r="P6" i="2"/>
  <c r="P3" i="2"/>
  <c r="M4" i="2"/>
  <c r="M5" i="2"/>
  <c r="M6" i="2"/>
  <c r="M3" i="2"/>
  <c r="J4" i="2"/>
  <c r="J5" i="2"/>
  <c r="J6" i="2"/>
  <c r="J3" i="2"/>
  <c r="E4" i="2"/>
  <c r="E10" i="2" s="1"/>
  <c r="H10" i="2" s="1"/>
  <c r="AH166" i="2" s="1"/>
  <c r="E5" i="2"/>
  <c r="K5" i="2" s="1"/>
  <c r="AI83" i="2" s="1"/>
  <c r="E6" i="2"/>
  <c r="K6" i="2" s="1"/>
  <c r="AI84" i="2" s="1"/>
  <c r="E3" i="2"/>
  <c r="E9" i="2" s="1"/>
  <c r="H9" i="2" s="1"/>
  <c r="AH165" i="2" s="1"/>
  <c r="A6" i="2"/>
  <c r="A4" i="2"/>
  <c r="A5" i="2"/>
  <c r="A3" i="2"/>
  <c r="Y4" i="2" l="1"/>
  <c r="AI124" i="2" s="1"/>
  <c r="X12" i="2"/>
  <c r="AB6" i="2"/>
  <c r="AJ126" i="2" s="1"/>
  <c r="U12" i="2"/>
  <c r="V12" i="2" s="1"/>
  <c r="AH210" i="2" s="1"/>
  <c r="Y5" i="2"/>
  <c r="AI125" i="2" s="1"/>
  <c r="Y3" i="2"/>
  <c r="AI123" i="2" s="1"/>
  <c r="J12" i="2"/>
  <c r="N6" i="2"/>
  <c r="AJ84" i="2" s="1"/>
  <c r="E12" i="2"/>
  <c r="H12" i="2" s="1"/>
  <c r="AH168" i="2" s="1"/>
  <c r="N5" i="2"/>
  <c r="AJ83" i="2" s="1"/>
  <c r="J11" i="2"/>
  <c r="E11" i="2"/>
  <c r="H11" i="2" s="1"/>
  <c r="AH167" i="2" s="1"/>
  <c r="K4" i="2"/>
  <c r="AI82" i="2" s="1"/>
  <c r="K3" i="2"/>
  <c r="AI81" i="2" s="1"/>
  <c r="K11" i="2" l="1"/>
  <c r="AB4" i="2"/>
  <c r="AJ124" i="2" s="1"/>
  <c r="X10" i="2"/>
  <c r="Y10" i="2" s="1"/>
  <c r="AI208" i="2" s="1"/>
  <c r="Y12" i="2"/>
  <c r="AA12" i="2"/>
  <c r="AE6" i="2"/>
  <c r="X11" i="2"/>
  <c r="Y11" i="2" s="1"/>
  <c r="AB5" i="2"/>
  <c r="AJ125" i="2" s="1"/>
  <c r="X9" i="2"/>
  <c r="Y9" i="2" s="1"/>
  <c r="AB3" i="2"/>
  <c r="AJ123" i="2" s="1"/>
  <c r="K12" i="2"/>
  <c r="M12" i="2"/>
  <c r="Q6" i="2"/>
  <c r="P12" i="2" s="1"/>
  <c r="Q5" i="2"/>
  <c r="P11" i="2" s="1"/>
  <c r="M11" i="2"/>
  <c r="N4" i="2"/>
  <c r="AJ82" i="2" s="1"/>
  <c r="J10" i="2"/>
  <c r="K10" i="2" s="1"/>
  <c r="AI166" i="2" s="1"/>
  <c r="J9" i="2"/>
  <c r="K9" i="2" s="1"/>
  <c r="AI165" i="2" s="1"/>
  <c r="N3" i="2"/>
  <c r="AJ81" i="2" s="1"/>
  <c r="E16" i="2"/>
  <c r="E17" i="2"/>
  <c r="H17" i="2" s="1"/>
  <c r="AH251" i="2" s="1"/>
  <c r="E18" i="2"/>
  <c r="E15" i="2"/>
  <c r="H15" i="2" s="1"/>
  <c r="AH249" i="2" s="1"/>
  <c r="U16" i="2"/>
  <c r="V16" i="2" s="1"/>
  <c r="AH292" i="2" s="1"/>
  <c r="U17" i="2"/>
  <c r="V17" i="2" s="1"/>
  <c r="AH293" i="2" s="1"/>
  <c r="U18" i="2"/>
  <c r="V18" i="2" s="1"/>
  <c r="AH294" i="2" s="1"/>
  <c r="U15" i="2"/>
  <c r="V15" i="2" s="1"/>
  <c r="AH291" i="2" s="1"/>
  <c r="X18" i="2" l="1"/>
  <c r="Y18" i="2" s="1"/>
  <c r="AI294" i="2" s="1"/>
  <c r="AI210" i="2"/>
  <c r="AK126" i="2"/>
  <c r="J18" i="2"/>
  <c r="AI168" i="2"/>
  <c r="X17" i="2"/>
  <c r="AI209" i="2"/>
  <c r="J17" i="2"/>
  <c r="AI167" i="2"/>
  <c r="X15" i="2"/>
  <c r="AI207" i="2"/>
  <c r="H16" i="2"/>
  <c r="H18" i="2"/>
  <c r="K17" i="2"/>
  <c r="AI251" i="2" s="1"/>
  <c r="N11" i="2"/>
  <c r="AD12" i="2"/>
  <c r="A11" i="2"/>
  <c r="X16" i="2"/>
  <c r="Y16" i="2" s="1"/>
  <c r="AI292" i="2" s="1"/>
  <c r="AE4" i="2"/>
  <c r="AA10" i="2"/>
  <c r="AB10" i="2" s="1"/>
  <c r="AJ208" i="2" s="1"/>
  <c r="AB12" i="2"/>
  <c r="AJ210" i="2" s="1"/>
  <c r="AE5" i="2"/>
  <c r="AA11" i="2"/>
  <c r="AB11" i="2" s="1"/>
  <c r="AJ209" i="2" s="1"/>
  <c r="AA9" i="2"/>
  <c r="AB9" i="2" s="1"/>
  <c r="AJ207" i="2" s="1"/>
  <c r="AE3" i="2"/>
  <c r="N12" i="2"/>
  <c r="J16" i="2"/>
  <c r="Q4" i="2"/>
  <c r="P10" i="2" s="1"/>
  <c r="M10" i="2"/>
  <c r="N10" i="2" s="1"/>
  <c r="AJ166" i="2" s="1"/>
  <c r="M9" i="2"/>
  <c r="N9" i="2" s="1"/>
  <c r="AJ165" i="2" s="1"/>
  <c r="Q3" i="2"/>
  <c r="P9" i="2" s="1"/>
  <c r="J15" i="2"/>
  <c r="K15" i="2" s="1"/>
  <c r="AI249" i="2" s="1"/>
  <c r="E23" i="2"/>
  <c r="H23" i="2" s="1"/>
  <c r="AH335" i="2" s="1"/>
  <c r="Y17" i="2"/>
  <c r="AI293" i="2" s="1"/>
  <c r="U23" i="2"/>
  <c r="V23" i="2" s="1"/>
  <c r="AH377" i="2" s="1"/>
  <c r="Y15" i="2"/>
  <c r="AI291" i="2" s="1"/>
  <c r="U21" i="2"/>
  <c r="V21" i="2" s="1"/>
  <c r="AH375" i="2" s="1"/>
  <c r="E21" i="2"/>
  <c r="H21" i="2" s="1"/>
  <c r="AH333" i="2" s="1"/>
  <c r="U24" i="2"/>
  <c r="V24" i="2" s="1"/>
  <c r="AH378" i="2" s="1"/>
  <c r="U22" i="2"/>
  <c r="V22" i="2" s="1"/>
  <c r="AH376" i="2" s="1"/>
  <c r="Q12" i="2" l="1"/>
  <c r="AJ168" i="2"/>
  <c r="E24" i="2"/>
  <c r="H24" i="2" s="1"/>
  <c r="AH252" i="2"/>
  <c r="AK125" i="2"/>
  <c r="M17" i="2"/>
  <c r="AJ167" i="2"/>
  <c r="AK124" i="2"/>
  <c r="E22" i="2"/>
  <c r="H22" i="2" s="1"/>
  <c r="AH250" i="2"/>
  <c r="AK123" i="2"/>
  <c r="K18" i="2"/>
  <c r="K16" i="2"/>
  <c r="AE12" i="2"/>
  <c r="Q11" i="2"/>
  <c r="AD11" i="2"/>
  <c r="AE11" i="2" s="1"/>
  <c r="AK209" i="2" s="1"/>
  <c r="A10" i="2"/>
  <c r="AD10" i="2"/>
  <c r="AE10" i="2" s="1"/>
  <c r="AK208" i="2" s="1"/>
  <c r="A9" i="2"/>
  <c r="AD9" i="2"/>
  <c r="AE9" i="2" s="1"/>
  <c r="AK207" i="2" s="1"/>
  <c r="A12" i="2"/>
  <c r="AA16" i="2"/>
  <c r="AB16" i="2" s="1"/>
  <c r="AJ292" i="2" s="1"/>
  <c r="AA18" i="2"/>
  <c r="AB18" i="2" s="1"/>
  <c r="AJ294" i="2" s="1"/>
  <c r="AA17" i="2"/>
  <c r="AB17" i="2" s="1"/>
  <c r="AJ293" i="2" s="1"/>
  <c r="AA15" i="2"/>
  <c r="AB15" i="2" s="1"/>
  <c r="AJ291" i="2" s="1"/>
  <c r="M18" i="2"/>
  <c r="Q10" i="2"/>
  <c r="M16" i="2"/>
  <c r="Q9" i="2"/>
  <c r="M15" i="2"/>
  <c r="N15" i="2" s="1"/>
  <c r="AJ249" i="2" s="1"/>
  <c r="X22" i="2"/>
  <c r="Y22" i="2" s="1"/>
  <c r="AI376" i="2" s="1"/>
  <c r="U30" i="2"/>
  <c r="V30" i="2" s="1"/>
  <c r="AH462" i="2" s="1"/>
  <c r="U27" i="2"/>
  <c r="V27" i="2" s="1"/>
  <c r="AH459" i="2" s="1"/>
  <c r="X24" i="2"/>
  <c r="Y24" i="2" s="1"/>
  <c r="AI378" i="2" s="1"/>
  <c r="X21" i="2"/>
  <c r="Y21" i="2" s="1"/>
  <c r="AI375" i="2" s="1"/>
  <c r="J21" i="2"/>
  <c r="K21" i="2" s="1"/>
  <c r="AI333" i="2" s="1"/>
  <c r="U29" i="2"/>
  <c r="V29" i="2" s="1"/>
  <c r="AH461" i="2" s="1"/>
  <c r="N17" i="2"/>
  <c r="AJ251" i="2" s="1"/>
  <c r="J23" i="2"/>
  <c r="K23" i="2" s="1"/>
  <c r="AI335" i="2" s="1"/>
  <c r="U28" i="2"/>
  <c r="V28" i="2" s="1"/>
  <c r="AH460" i="2" s="1"/>
  <c r="E27" i="2"/>
  <c r="H27" i="2" s="1"/>
  <c r="AH417" i="2" s="1"/>
  <c r="X23" i="2"/>
  <c r="Y23" i="2" s="1"/>
  <c r="AI377" i="2" s="1"/>
  <c r="E29" i="2"/>
  <c r="H29" i="2" s="1"/>
  <c r="AH419" i="2" s="1"/>
  <c r="AD18" i="2" l="1"/>
  <c r="AE18" i="2" s="1"/>
  <c r="AK210" i="2"/>
  <c r="E30" i="2"/>
  <c r="H30" i="2" s="1"/>
  <c r="AH336" i="2"/>
  <c r="J24" i="2"/>
  <c r="K24" i="2" s="1"/>
  <c r="AI336" i="2" s="1"/>
  <c r="AI252" i="2"/>
  <c r="P18" i="2"/>
  <c r="AK168" i="2"/>
  <c r="P17" i="2"/>
  <c r="AK167" i="2"/>
  <c r="J22" i="2"/>
  <c r="K22" i="2" s="1"/>
  <c r="AI250" i="2"/>
  <c r="P16" i="2"/>
  <c r="AK166" i="2"/>
  <c r="E28" i="2"/>
  <c r="H28" i="2" s="1"/>
  <c r="AH334" i="2"/>
  <c r="P15" i="2"/>
  <c r="AK165" i="2"/>
  <c r="N16" i="2"/>
  <c r="N18" i="2"/>
  <c r="A17" i="2"/>
  <c r="AD17" i="2"/>
  <c r="AE17" i="2" s="1"/>
  <c r="A16" i="2"/>
  <c r="AD16" i="2"/>
  <c r="AE16" i="2" s="1"/>
  <c r="A15" i="2"/>
  <c r="AD15" i="2"/>
  <c r="AE15" i="2" s="1"/>
  <c r="A18" i="2"/>
  <c r="X29" i="2"/>
  <c r="Y29" i="2" s="1"/>
  <c r="AI461" i="2" s="1"/>
  <c r="J29" i="2"/>
  <c r="K29" i="2" s="1"/>
  <c r="AI419" i="2" s="1"/>
  <c r="X30" i="2"/>
  <c r="Y30" i="2" s="1"/>
  <c r="AI462" i="2" s="1"/>
  <c r="X27" i="2"/>
  <c r="Y27" i="2" s="1"/>
  <c r="AI459" i="2" s="1"/>
  <c r="X28" i="2"/>
  <c r="Y28" i="2" s="1"/>
  <c r="AI460" i="2" s="1"/>
  <c r="J27" i="2"/>
  <c r="K27" i="2" s="1"/>
  <c r="AI417" i="2" s="1"/>
  <c r="E35" i="2"/>
  <c r="E33" i="2"/>
  <c r="Q17" i="2"/>
  <c r="M23" i="2"/>
  <c r="N23" i="2" s="1"/>
  <c r="AJ335" i="2" s="1"/>
  <c r="Q15" i="2"/>
  <c r="M21" i="2"/>
  <c r="N21" i="2" s="1"/>
  <c r="AJ333" i="2" s="1"/>
  <c r="AA21" i="2"/>
  <c r="AB21" i="2" s="1"/>
  <c r="AJ375" i="2" s="1"/>
  <c r="U36" i="2"/>
  <c r="U34" i="2"/>
  <c r="U35" i="2"/>
  <c r="U33" i="2"/>
  <c r="AA23" i="2"/>
  <c r="AB23" i="2" s="1"/>
  <c r="AJ377" i="2" s="1"/>
  <c r="AA24" i="2"/>
  <c r="AB24" i="2" s="1"/>
  <c r="AJ378" i="2" s="1"/>
  <c r="AA22" i="2"/>
  <c r="AB22" i="2" s="1"/>
  <c r="AJ376" i="2" s="1"/>
  <c r="J30" i="2" l="1"/>
  <c r="K30" i="2" s="1"/>
  <c r="AI420" i="2" s="1"/>
  <c r="A23" i="2"/>
  <c r="AK294" i="2"/>
  <c r="M24" i="2"/>
  <c r="N24" i="2" s="1"/>
  <c r="AJ336" i="2" s="1"/>
  <c r="AJ252" i="2"/>
  <c r="AH420" i="2"/>
  <c r="E36" i="2"/>
  <c r="H36" i="2" s="1"/>
  <c r="A22" i="2"/>
  <c r="AK293" i="2"/>
  <c r="P23" i="2"/>
  <c r="Q23" i="2" s="1"/>
  <c r="AK251" i="2"/>
  <c r="A21" i="2"/>
  <c r="AK292" i="2"/>
  <c r="Q16" i="2"/>
  <c r="AJ250" i="2"/>
  <c r="E34" i="2"/>
  <c r="H34" i="2" s="1"/>
  <c r="AH418" i="2"/>
  <c r="J28" i="2"/>
  <c r="K28" i="2" s="1"/>
  <c r="AI334" i="2"/>
  <c r="A24" i="2"/>
  <c r="AK291" i="2"/>
  <c r="P21" i="2"/>
  <c r="Q21" i="2" s="1"/>
  <c r="AK249" i="2"/>
  <c r="M22" i="2"/>
  <c r="N22" i="2" s="1"/>
  <c r="Q18" i="2"/>
  <c r="V36" i="2"/>
  <c r="AH546" i="2" s="1"/>
  <c r="V33" i="2"/>
  <c r="AH543" i="2" s="1"/>
  <c r="V34" i="2"/>
  <c r="AH544" i="2" s="1"/>
  <c r="V35" i="2"/>
  <c r="AH545" i="2" s="1"/>
  <c r="AR42" i="2"/>
  <c r="AR40" i="2"/>
  <c r="H33" i="2"/>
  <c r="H35" i="2"/>
  <c r="AA29" i="2"/>
  <c r="AB29" i="2" s="1"/>
  <c r="AJ461" i="2" s="1"/>
  <c r="M27" i="2"/>
  <c r="N27" i="2" s="1"/>
  <c r="AJ417" i="2" s="1"/>
  <c r="X36" i="2"/>
  <c r="AA28" i="2"/>
  <c r="AB28" i="2" s="1"/>
  <c r="AJ460" i="2" s="1"/>
  <c r="AA30" i="2"/>
  <c r="AB30" i="2" s="1"/>
  <c r="AJ462" i="2" s="1"/>
  <c r="AA27" i="2"/>
  <c r="AB27" i="2" s="1"/>
  <c r="AJ459" i="2" s="1"/>
  <c r="M29" i="2"/>
  <c r="N29" i="2" s="1"/>
  <c r="AJ419" i="2" s="1"/>
  <c r="X35" i="2"/>
  <c r="X33" i="2"/>
  <c r="J33" i="2"/>
  <c r="AD22" i="2"/>
  <c r="AE22" i="2" s="1"/>
  <c r="AD23" i="2"/>
  <c r="AE23" i="2" s="1"/>
  <c r="AD21" i="2"/>
  <c r="AE21" i="2" s="1"/>
  <c r="X34" i="2"/>
  <c r="J35" i="2"/>
  <c r="AD24" i="2"/>
  <c r="AE24" i="2" s="1"/>
  <c r="J36" i="2" l="1"/>
  <c r="K36" i="2" s="1"/>
  <c r="J42" i="2" s="1"/>
  <c r="A29" i="2"/>
  <c r="AK378" i="2"/>
  <c r="E42" i="2"/>
  <c r="H42" i="2" s="1"/>
  <c r="AH588" i="2" s="1"/>
  <c r="AH504" i="2"/>
  <c r="M30" i="2"/>
  <c r="N30" i="2" s="1"/>
  <c r="AJ420" i="2" s="1"/>
  <c r="P24" i="2"/>
  <c r="Q24" i="2" s="1"/>
  <c r="AK252" i="2"/>
  <c r="A28" i="2"/>
  <c r="AK377" i="2"/>
  <c r="P29" i="2"/>
  <c r="AK335" i="2"/>
  <c r="E41" i="2"/>
  <c r="H41" i="2" s="1"/>
  <c r="AH587" i="2" s="1"/>
  <c r="AH503" i="2"/>
  <c r="A27" i="2"/>
  <c r="AK376" i="2"/>
  <c r="M28" i="2"/>
  <c r="N28" i="2" s="1"/>
  <c r="AJ334" i="2"/>
  <c r="E40" i="2"/>
  <c r="H40" i="2" s="1"/>
  <c r="AH586" i="2" s="1"/>
  <c r="AH502" i="2"/>
  <c r="J34" i="2"/>
  <c r="K34" i="2" s="1"/>
  <c r="AI418" i="2"/>
  <c r="P22" i="2"/>
  <c r="AK250" i="2"/>
  <c r="A30" i="2"/>
  <c r="AK375" i="2"/>
  <c r="P27" i="2"/>
  <c r="Q27" i="2" s="1"/>
  <c r="AK333" i="2"/>
  <c r="E39" i="2"/>
  <c r="H39" i="2" s="1"/>
  <c r="AH585" i="2" s="1"/>
  <c r="AH501" i="2"/>
  <c r="Q22" i="2"/>
  <c r="Y34" i="2"/>
  <c r="AI544" i="2" s="1"/>
  <c r="Y33" i="2"/>
  <c r="AI543" i="2" s="1"/>
  <c r="K33" i="2"/>
  <c r="Y35" i="2"/>
  <c r="AI545" i="2" s="1"/>
  <c r="Y36" i="2"/>
  <c r="AI546" i="2" s="1"/>
  <c r="AR41" i="2"/>
  <c r="AR39" i="2"/>
  <c r="AS40" i="2"/>
  <c r="K35" i="2"/>
  <c r="AS42" i="2"/>
  <c r="AD28" i="2"/>
  <c r="AE28" i="2" s="1"/>
  <c r="AD29" i="2"/>
  <c r="AE29" i="2" s="1"/>
  <c r="AD30" i="2"/>
  <c r="AE30" i="2" s="1"/>
  <c r="AA36" i="2"/>
  <c r="AD27" i="2"/>
  <c r="AE27" i="2" s="1"/>
  <c r="Q29" i="2"/>
  <c r="M35" i="2"/>
  <c r="AA34" i="2"/>
  <c r="AA35" i="2"/>
  <c r="M33" i="2"/>
  <c r="AA33" i="2"/>
  <c r="AI504" i="2" l="1"/>
  <c r="A35" i="2"/>
  <c r="AK462" i="2"/>
  <c r="M36" i="2"/>
  <c r="N36" i="2" s="1"/>
  <c r="P30" i="2"/>
  <c r="Q30" i="2" s="1"/>
  <c r="AK336" i="2"/>
  <c r="K42" i="2"/>
  <c r="AI588" i="2" s="1"/>
  <c r="A34" i="2"/>
  <c r="AK461" i="2"/>
  <c r="P35" i="2"/>
  <c r="AK419" i="2"/>
  <c r="J41" i="2"/>
  <c r="K41" i="2" s="1"/>
  <c r="AI587" i="2" s="1"/>
  <c r="AI503" i="2"/>
  <c r="A33" i="2"/>
  <c r="AK460" i="2"/>
  <c r="P28" i="2"/>
  <c r="Q28" i="2" s="1"/>
  <c r="AK334" i="2"/>
  <c r="J40" i="2"/>
  <c r="K40" i="2" s="1"/>
  <c r="AI586" i="2" s="1"/>
  <c r="AI502" i="2"/>
  <c r="M34" i="2"/>
  <c r="N34" i="2" s="1"/>
  <c r="AJ418" i="2"/>
  <c r="A36" i="2"/>
  <c r="AK459" i="2"/>
  <c r="P33" i="2"/>
  <c r="AK417" i="2"/>
  <c r="J39" i="2"/>
  <c r="K39" i="2" s="1"/>
  <c r="AI585" i="2" s="1"/>
  <c r="AI501" i="2"/>
  <c r="AS39" i="2"/>
  <c r="AB34" i="2"/>
  <c r="AJ544" i="2" s="1"/>
  <c r="AB33" i="2"/>
  <c r="AJ543" i="2" s="1"/>
  <c r="N33" i="2"/>
  <c r="AS41" i="2"/>
  <c r="N35" i="2"/>
  <c r="AB36" i="2"/>
  <c r="AJ546" i="2" s="1"/>
  <c r="AB35" i="2"/>
  <c r="AJ545" i="2" s="1"/>
  <c r="AT40" i="2"/>
  <c r="AT42" i="2"/>
  <c r="AD34" i="2"/>
  <c r="AD33" i="2"/>
  <c r="AD35" i="2"/>
  <c r="AD36" i="2"/>
  <c r="Q36" i="2" l="1"/>
  <c r="P36" i="2"/>
  <c r="AK420" i="2"/>
  <c r="M42" i="2"/>
  <c r="N42" i="2" s="1"/>
  <c r="AJ588" i="2" s="1"/>
  <c r="AJ504" i="2"/>
  <c r="M41" i="2"/>
  <c r="N41" i="2" s="1"/>
  <c r="AJ587" i="2" s="1"/>
  <c r="AJ503" i="2"/>
  <c r="M40" i="2"/>
  <c r="N40" i="2" s="1"/>
  <c r="AJ586" i="2" s="1"/>
  <c r="AJ502" i="2"/>
  <c r="P34" i="2"/>
  <c r="Q34" i="2" s="1"/>
  <c r="AK418" i="2"/>
  <c r="M39" i="2"/>
  <c r="N39" i="2" s="1"/>
  <c r="AJ585" i="2" s="1"/>
  <c r="AJ501" i="2"/>
  <c r="AE33" i="2"/>
  <c r="AK543" i="2" s="1"/>
  <c r="AE34" i="2"/>
  <c r="AK544" i="2" s="1"/>
  <c r="Q33" i="2"/>
  <c r="Q35" i="2"/>
  <c r="AE36" i="2"/>
  <c r="AK546" i="2" s="1"/>
  <c r="AE35" i="2"/>
  <c r="AK545" i="2" s="1"/>
  <c r="AU40" i="2"/>
  <c r="AU42" i="2"/>
  <c r="AT41" i="2"/>
  <c r="AT39" i="2"/>
  <c r="P42" i="2" l="1"/>
  <c r="Q42" i="2" s="1"/>
  <c r="AK588" i="2" s="1"/>
  <c r="AK504" i="2"/>
  <c r="P41" i="2"/>
  <c r="Q41" i="2" s="1"/>
  <c r="AK587" i="2" s="1"/>
  <c r="AK503" i="2"/>
  <c r="P40" i="2"/>
  <c r="Q40" i="2" s="1"/>
  <c r="AK586" i="2" s="1"/>
  <c r="AK502" i="2"/>
  <c r="P39" i="2"/>
  <c r="Q39" i="2" s="1"/>
  <c r="AK585" i="2" s="1"/>
  <c r="AK501" i="2"/>
  <c r="AU41" i="2"/>
  <c r="AU39" i="2"/>
  <c r="A41" i="2"/>
  <c r="A40" i="2"/>
  <c r="A39" i="2"/>
  <c r="A42" i="2"/>
  <c r="AR84" i="2" l="1"/>
  <c r="AS84" i="2" l="1"/>
  <c r="AR82" i="2" l="1"/>
  <c r="AR81" i="2"/>
  <c r="AT84" i="2"/>
  <c r="AS82" i="2" l="1"/>
  <c r="AS81" i="2"/>
  <c r="AU84" i="2"/>
  <c r="AR83" i="2" l="1"/>
  <c r="AT81" i="2"/>
  <c r="AS83" i="2" l="1"/>
  <c r="AU81" i="2"/>
  <c r="AT82" i="2"/>
  <c r="AU83" i="2" l="1"/>
  <c r="AU82" i="2"/>
  <c r="AT83" i="2"/>
  <c r="AR123" i="2" l="1"/>
  <c r="AR126" i="2" l="1"/>
  <c r="AR124" i="2"/>
  <c r="AS123" i="2"/>
  <c r="AS126" i="2" l="1"/>
  <c r="AR125" i="2"/>
  <c r="AS124" i="2"/>
  <c r="AT123" i="2"/>
  <c r="AT126" i="2" l="1"/>
  <c r="AT124" i="2"/>
  <c r="AS125" i="2"/>
  <c r="AU123" i="2"/>
  <c r="AU126" i="2" l="1"/>
  <c r="AU124" i="2"/>
  <c r="AR168" i="2"/>
  <c r="AT125" i="2" l="1"/>
  <c r="AU125" i="2" l="1"/>
  <c r="AS168" i="2"/>
  <c r="AT168" i="2" l="1"/>
  <c r="AR166" i="2"/>
  <c r="AR165" i="2"/>
  <c r="AU168" i="2" l="1"/>
  <c r="AS166" i="2"/>
  <c r="AS165" i="2"/>
  <c r="AT165" i="2" l="1"/>
  <c r="AR210" i="2"/>
  <c r="AT166" i="2"/>
  <c r="AU165" i="2" l="1"/>
  <c r="AS210" i="2"/>
  <c r="AU166" i="2"/>
  <c r="AS167" i="2" l="1"/>
  <c r="AR167" i="2"/>
  <c r="AT210" i="2"/>
  <c r="AU210" i="2" l="1"/>
  <c r="AU167" i="2" l="1"/>
  <c r="AT167" i="2"/>
  <c r="AR207" i="2"/>
  <c r="AR208" i="2"/>
  <c r="AS207" i="2" l="1"/>
  <c r="AS208" i="2"/>
  <c r="AT208" i="2" l="1"/>
  <c r="AT207" i="2"/>
  <c r="AR209" i="2" l="1"/>
  <c r="AU208" i="2"/>
  <c r="AR252" i="2"/>
  <c r="AU207" i="2"/>
  <c r="AS209" i="2" l="1"/>
  <c r="AS252" i="2"/>
  <c r="AT209" i="2" l="1"/>
  <c r="AT252" i="2"/>
  <c r="AR249" i="2"/>
  <c r="AU209" i="2" l="1"/>
  <c r="AU252" i="2"/>
  <c r="AS249" i="2"/>
  <c r="AT249" i="2" l="1"/>
  <c r="AU249" i="2" l="1"/>
  <c r="AR250" i="2" l="1"/>
  <c r="AR294" i="2"/>
  <c r="AR291" i="2"/>
  <c r="AR251" i="2" l="1"/>
  <c r="AS250" i="2"/>
  <c r="AS291" i="2"/>
  <c r="AS294" i="2"/>
  <c r="AS251" i="2" l="1"/>
  <c r="AT250" i="2"/>
  <c r="AT291" i="2"/>
  <c r="AT294" i="2"/>
  <c r="AU250" i="2" l="1"/>
  <c r="AT251" i="2"/>
  <c r="AU294" i="2" l="1"/>
  <c r="AU251" i="2"/>
  <c r="AU291" i="2"/>
  <c r="AR293" i="2" l="1"/>
  <c r="AR292" i="2" l="1"/>
  <c r="AS293" i="2"/>
  <c r="AS292" i="2" l="1"/>
  <c r="AT293" i="2"/>
  <c r="AT292" i="2" l="1"/>
  <c r="AU293" i="2"/>
  <c r="AR333" i="2" l="1"/>
  <c r="AU292" i="2"/>
  <c r="AS333" i="2" l="1"/>
  <c r="AR336" i="2"/>
  <c r="AT333" i="2" l="1"/>
  <c r="AS336" i="2"/>
  <c r="AU333" i="2" l="1"/>
  <c r="AR335" i="2"/>
  <c r="AT336" i="2"/>
  <c r="AR334" i="2" l="1"/>
  <c r="AS335" i="2"/>
  <c r="AU336" i="2"/>
  <c r="AS334" i="2" l="1"/>
  <c r="AT335" i="2"/>
  <c r="AU335" i="2" l="1"/>
  <c r="AT334" i="2"/>
  <c r="AU334" i="2" l="1"/>
  <c r="AR378" i="2" l="1"/>
  <c r="AR375" i="2" l="1"/>
  <c r="AS378" i="2"/>
  <c r="AS375" i="2" l="1"/>
  <c r="AR377" i="2"/>
  <c r="AT378" i="2"/>
  <c r="AT375" i="2" l="1"/>
  <c r="AR376" i="2"/>
  <c r="AS377" i="2"/>
  <c r="AU378" i="2"/>
  <c r="AU375" i="2" l="1"/>
  <c r="AS376" i="2"/>
  <c r="AT377" i="2"/>
  <c r="AT376" i="2" l="1"/>
  <c r="AU377" i="2"/>
  <c r="AU376" i="2" l="1"/>
  <c r="AR417" i="2" l="1"/>
  <c r="AR418" i="2" l="1"/>
  <c r="AS417" i="2"/>
  <c r="AT417" i="2" l="1"/>
  <c r="AR419" i="2"/>
  <c r="AS418" i="2"/>
  <c r="AS419" i="2" l="1"/>
  <c r="AR420" i="2"/>
  <c r="AU417" i="2"/>
  <c r="AT419" i="2" l="1"/>
  <c r="AU419" i="2"/>
  <c r="AS420" i="2"/>
  <c r="AU418" i="2" l="1"/>
  <c r="AT418" i="2"/>
  <c r="AT420" i="2"/>
  <c r="AU420" i="2" l="1"/>
  <c r="AR459" i="2" l="1"/>
  <c r="AS459" i="2" l="1"/>
  <c r="AT459" i="2" l="1"/>
  <c r="AU459" i="2" l="1"/>
  <c r="AR460" i="2" l="1"/>
  <c r="AR462" i="2"/>
  <c r="AS462" i="2" l="1"/>
  <c r="AS460" i="2"/>
  <c r="AT462" i="2" l="1"/>
  <c r="AT460" i="2"/>
  <c r="AR461" i="2"/>
  <c r="AU462" i="2" l="1"/>
  <c r="AU460" i="2"/>
  <c r="AS461" i="2"/>
  <c r="AT461" i="2" l="1"/>
  <c r="AU461" i="2" l="1"/>
  <c r="AR501" i="2" l="1"/>
  <c r="AR502" i="2"/>
  <c r="AS502" i="2" l="1"/>
  <c r="AS501" i="2"/>
  <c r="AT502" i="2" l="1"/>
  <c r="AT501" i="2"/>
  <c r="AU502" i="2" l="1"/>
  <c r="AU501" i="2"/>
  <c r="AR504" i="2" l="1"/>
  <c r="AR503" i="2"/>
  <c r="AS503" i="2" l="1"/>
  <c r="AT503" i="2" l="1"/>
  <c r="AS504" i="2"/>
  <c r="AU503" i="2" l="1"/>
  <c r="AT504" i="2"/>
  <c r="AR543" i="2" l="1"/>
  <c r="AU504" i="2"/>
  <c r="AS543" i="2" l="1"/>
  <c r="AT543" i="2" l="1"/>
  <c r="AU543" i="2" l="1"/>
  <c r="AR544" i="2" l="1"/>
  <c r="AR545" i="2"/>
  <c r="AR546" i="2"/>
  <c r="AS544" i="2" l="1"/>
  <c r="AS546" i="2"/>
  <c r="AS545" i="2"/>
  <c r="AT545" i="2" l="1"/>
  <c r="AT544" i="2"/>
  <c r="AT546" i="2"/>
  <c r="AR585" i="2" l="1"/>
  <c r="AU544" i="2"/>
  <c r="AU545" i="2"/>
  <c r="AU546" i="2"/>
  <c r="AS585" i="2" l="1"/>
  <c r="AT585" i="2" l="1"/>
  <c r="AU585" i="2" l="1"/>
  <c r="AR586" i="2" l="1"/>
  <c r="AR588" i="2" l="1"/>
  <c r="AS586" i="2"/>
  <c r="AR587" i="2" l="1"/>
  <c r="AT586" i="2"/>
  <c r="AS588" i="2"/>
  <c r="AS587" i="2" l="1"/>
  <c r="AU586" i="2"/>
  <c r="AT588" i="2"/>
  <c r="AT587" i="2" l="1"/>
  <c r="AU588" i="2"/>
  <c r="AU587" i="2" l="1"/>
</calcChain>
</file>

<file path=xl/sharedStrings.xml><?xml version="1.0" encoding="utf-8"?>
<sst xmlns="http://schemas.openxmlformats.org/spreadsheetml/2006/main" count="702" uniqueCount="290">
  <si>
    <t>key</t>
  </si>
  <si>
    <t>d3</t>
  </si>
  <si>
    <t>bb</t>
  </si>
  <si>
    <t>8a</t>
  </si>
  <si>
    <t>5f</t>
  </si>
  <si>
    <t>c8</t>
  </si>
  <si>
    <t>6d</t>
  </si>
  <si>
    <t>5a</t>
  </si>
  <si>
    <t>c1</t>
  </si>
  <si>
    <t>2d</t>
  </si>
  <si>
    <t>d2</t>
  </si>
  <si>
    <t>b0</t>
  </si>
  <si>
    <t>b9</t>
  </si>
  <si>
    <t>e0</t>
  </si>
  <si>
    <t>e3</t>
  </si>
  <si>
    <t>ef</t>
  </si>
  <si>
    <t>ab</t>
  </si>
  <si>
    <t>ea</t>
  </si>
  <si>
    <t>f1</t>
  </si>
  <si>
    <t>fa</t>
  </si>
  <si>
    <t>ac</t>
  </si>
  <si>
    <t>ae</t>
  </si>
  <si>
    <t>e8</t>
  </si>
  <si>
    <t>cb</t>
  </si>
  <si>
    <t>b5</t>
  </si>
  <si>
    <t>c6</t>
  </si>
  <si>
    <t>c0</t>
  </si>
  <si>
    <t>3c</t>
  </si>
  <si>
    <t>dc</t>
  </si>
  <si>
    <t>d5</t>
  </si>
  <si>
    <t>b1</t>
  </si>
  <si>
    <t>fb</t>
  </si>
  <si>
    <t>ba</t>
  </si>
  <si>
    <t>5e</t>
  </si>
  <si>
    <t>3f</t>
  </si>
  <si>
    <t>ee</t>
  </si>
  <si>
    <t>2f</t>
  </si>
  <si>
    <t>a5</t>
  </si>
  <si>
    <t>8b</t>
  </si>
  <si>
    <t>df</t>
  </si>
  <si>
    <t>4a</t>
  </si>
  <si>
    <t>d1</t>
  </si>
  <si>
    <t>e1</t>
  </si>
  <si>
    <t>f7</t>
  </si>
  <si>
    <t>f2</t>
  </si>
  <si>
    <t>3d</t>
  </si>
  <si>
    <t>c3</t>
  </si>
  <si>
    <t>4e</t>
  </si>
  <si>
    <t>2c</t>
  </si>
  <si>
    <t>f0</t>
  </si>
  <si>
    <t>f9</t>
  </si>
  <si>
    <t>9d</t>
  </si>
  <si>
    <t>b2</t>
  </si>
  <si>
    <t>e2</t>
  </si>
  <si>
    <t>f6</t>
  </si>
  <si>
    <t>5d</t>
  </si>
  <si>
    <t>a7</t>
  </si>
  <si>
    <t>ed</t>
  </si>
  <si>
    <t>d8</t>
  </si>
  <si>
    <t>ff</t>
  </si>
  <si>
    <t>4f</t>
  </si>
  <si>
    <t>=</t>
  </si>
  <si>
    <t>+</t>
  </si>
  <si>
    <t>RC</t>
  </si>
  <si>
    <t>H</t>
  </si>
  <si>
    <t>bd</t>
  </si>
  <si>
    <t>B1</t>
  </si>
  <si>
    <t>C8</t>
  </si>
  <si>
    <t>E1</t>
  </si>
  <si>
    <t>CC</t>
  </si>
  <si>
    <t>F0</t>
  </si>
  <si>
    <t>F9</t>
  </si>
  <si>
    <t>A2</t>
  </si>
  <si>
    <t>3F</t>
  </si>
  <si>
    <t>9E</t>
  </si>
  <si>
    <t>7D</t>
  </si>
  <si>
    <t>AB</t>
  </si>
  <si>
    <t>5B</t>
  </si>
  <si>
    <t>A1</t>
  </si>
  <si>
    <t>1B</t>
  </si>
  <si>
    <t>4D</t>
  </si>
  <si>
    <t>G</t>
  </si>
  <si>
    <t>2B</t>
  </si>
  <si>
    <t>7E</t>
  </si>
  <si>
    <t>AE</t>
  </si>
  <si>
    <t>D2</t>
  </si>
  <si>
    <t>CF</t>
  </si>
  <si>
    <t>4F</t>
  </si>
  <si>
    <t>3C</t>
  </si>
  <si>
    <t>8A</t>
  </si>
  <si>
    <t>EB</t>
  </si>
  <si>
    <t>1C</t>
  </si>
  <si>
    <t>1F</t>
  </si>
  <si>
    <t>DB</t>
  </si>
  <si>
    <t>D6</t>
  </si>
  <si>
    <t>9B</t>
  </si>
  <si>
    <t>2E</t>
  </si>
  <si>
    <t>C6</t>
  </si>
  <si>
    <t>6D</t>
  </si>
  <si>
    <t>3E</t>
  </si>
  <si>
    <t>AF</t>
  </si>
  <si>
    <t>1D</t>
  </si>
  <si>
    <t>BF</t>
  </si>
  <si>
    <t>8D</t>
  </si>
  <si>
    <t>C0</t>
  </si>
  <si>
    <t>A7</t>
  </si>
  <si>
    <t>E9</t>
  </si>
  <si>
    <t>A5</t>
  </si>
  <si>
    <t>DA</t>
  </si>
  <si>
    <t>4C</t>
  </si>
  <si>
    <t>9F</t>
  </si>
  <si>
    <t>F1</t>
  </si>
  <si>
    <t>D1</t>
  </si>
  <si>
    <t>5D</t>
  </si>
  <si>
    <t>E0</t>
  </si>
  <si>
    <t>7A</t>
  </si>
  <si>
    <t>7B</t>
  </si>
  <si>
    <t>FA</t>
  </si>
  <si>
    <t>2D</t>
  </si>
  <si>
    <t>FF</t>
  </si>
  <si>
    <t>F4</t>
  </si>
  <si>
    <t>ED</t>
  </si>
  <si>
    <t>E3</t>
  </si>
  <si>
    <t>CA</t>
  </si>
  <si>
    <t>D5</t>
  </si>
  <si>
    <t>BA</t>
  </si>
  <si>
    <t>8F</t>
  </si>
  <si>
    <t>C9</t>
  </si>
  <si>
    <t>F5</t>
  </si>
  <si>
    <t>B7</t>
  </si>
  <si>
    <t>CE</t>
  </si>
  <si>
    <t>E4</t>
  </si>
  <si>
    <t>A8</t>
  </si>
  <si>
    <t>5F</t>
  </si>
  <si>
    <t>BE</t>
  </si>
  <si>
    <t>EA</t>
  </si>
  <si>
    <t>D3</t>
  </si>
  <si>
    <t>BB</t>
  </si>
  <si>
    <t>5A</t>
  </si>
  <si>
    <t>C1</t>
  </si>
  <si>
    <t>B9</t>
  </si>
  <si>
    <t>B0</t>
  </si>
  <si>
    <t>EF</t>
  </si>
  <si>
    <t>0D</t>
  </si>
  <si>
    <t>B4</t>
  </si>
  <si>
    <t>0A</t>
  </si>
  <si>
    <t>6A</t>
  </si>
  <si>
    <t>CB</t>
  </si>
  <si>
    <t>D0</t>
  </si>
  <si>
    <t>EC</t>
  </si>
  <si>
    <t>F3</t>
  </si>
  <si>
    <t>A4</t>
  </si>
  <si>
    <t>E7</t>
  </si>
  <si>
    <t>A3</t>
  </si>
  <si>
    <t>D7</t>
  </si>
  <si>
    <t>key input</t>
  </si>
  <si>
    <t>B5</t>
  </si>
  <si>
    <t>3B</t>
  </si>
  <si>
    <t>0F</t>
  </si>
  <si>
    <t>C7</t>
  </si>
  <si>
    <t>2F</t>
  </si>
  <si>
    <t>8C</t>
  </si>
  <si>
    <t>4E</t>
  </si>
  <si>
    <t>B8</t>
  </si>
  <si>
    <t>C2</t>
  </si>
  <si>
    <t>7F</t>
  </si>
  <si>
    <t>F6</t>
  </si>
  <si>
    <t>E5</t>
  </si>
  <si>
    <t>D4</t>
  </si>
  <si>
    <t>BC</t>
  </si>
  <si>
    <t>D9</t>
  </si>
  <si>
    <t>6C</t>
  </si>
  <si>
    <t>FB</t>
  </si>
  <si>
    <t>2A</t>
  </si>
  <si>
    <t>1E</t>
  </si>
  <si>
    <t>F2</t>
  </si>
  <si>
    <t>C5</t>
  </si>
  <si>
    <t>9A</t>
  </si>
  <si>
    <t>A0</t>
  </si>
  <si>
    <t>2 MSB 0</t>
  </si>
  <si>
    <t>3 MSB 0</t>
  </si>
  <si>
    <t>2 MSB 1</t>
  </si>
  <si>
    <t>3 MSB 1</t>
  </si>
  <si>
    <t>b4</t>
  </si>
  <si>
    <t>b8</t>
  </si>
  <si>
    <t>1e</t>
  </si>
  <si>
    <t>e5</t>
  </si>
  <si>
    <t>b3</t>
  </si>
  <si>
    <t>7d</t>
  </si>
  <si>
    <t>Enkripsi</t>
  </si>
  <si>
    <t>e</t>
  </si>
  <si>
    <t>b</t>
  </si>
  <si>
    <t>d</t>
  </si>
  <si>
    <t>matrik konstan dekripsi</t>
  </si>
  <si>
    <t>DF</t>
  </si>
  <si>
    <t>E8</t>
  </si>
  <si>
    <t>DE</t>
  </si>
  <si>
    <t>4B</t>
  </si>
  <si>
    <t>8B</t>
  </si>
  <si>
    <t>A9</t>
  </si>
  <si>
    <t>B3</t>
  </si>
  <si>
    <t>B2</t>
  </si>
  <si>
    <t>5C</t>
  </si>
  <si>
    <t>C4</t>
  </si>
  <si>
    <t>AA</t>
  </si>
  <si>
    <t>2C</t>
  </si>
  <si>
    <t>CD</t>
  </si>
  <si>
    <t>F8</t>
  </si>
  <si>
    <t>plaintext</t>
  </si>
  <si>
    <t>XOR</t>
  </si>
  <si>
    <t>keyAddition</t>
  </si>
  <si>
    <t>substitusi</t>
  </si>
  <si>
    <t>Shift row</t>
  </si>
  <si>
    <t>*</t>
  </si>
  <si>
    <t>Mixcolumns</t>
  </si>
  <si>
    <t>Rumus Xor</t>
  </si>
  <si>
    <t>Keyaddition</t>
  </si>
  <si>
    <t>byteSubstitusi</t>
  </si>
  <si>
    <t>ROUND 2</t>
  </si>
  <si>
    <t>MIXcOLUMNS</t>
  </si>
  <si>
    <t>X6R</t>
  </si>
  <si>
    <t>KEYADDITION</t>
  </si>
  <si>
    <t>SUBSTITUSI</t>
  </si>
  <si>
    <t>ROUND 3</t>
  </si>
  <si>
    <t>SIFTROW</t>
  </si>
  <si>
    <t>MIXCOLUMNS</t>
  </si>
  <si>
    <t>ROUND 4</t>
  </si>
  <si>
    <t>SHIFTROW</t>
  </si>
  <si>
    <t>F7</t>
  </si>
  <si>
    <t>ROUND 5</t>
  </si>
  <si>
    <t>MIX</t>
  </si>
  <si>
    <t>ROUND 6</t>
  </si>
  <si>
    <t>ROUND 7</t>
  </si>
  <si>
    <t>ROUND 8</t>
  </si>
  <si>
    <t>ROUND 9</t>
  </si>
  <si>
    <t>ROUND 10</t>
  </si>
  <si>
    <t>ROUND 11</t>
  </si>
  <si>
    <t>E</t>
  </si>
  <si>
    <t>ROUND 12</t>
  </si>
  <si>
    <t>AD</t>
  </si>
  <si>
    <t>ROUND 0</t>
  </si>
  <si>
    <t>ROUND 13</t>
  </si>
  <si>
    <t>ROUND 14</t>
  </si>
  <si>
    <t>ROUND 1</t>
  </si>
  <si>
    <t>B6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</si>
  <si>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</si>
  <si>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</si>
  <si>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</si>
  <si>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</si>
  <si>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</si>
  <si>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</si>
  <si>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</si>
  <si>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</si>
  <si>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</si>
  <si>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</si>
  <si>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</si>
  <si>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</si>
  <si>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</si>
  <si>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</si>
  <si>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W0</t>
  </si>
  <si>
    <t>W1</t>
  </si>
  <si>
    <t>W2</t>
  </si>
  <si>
    <t>W3</t>
  </si>
  <si>
    <t>W4</t>
  </si>
  <si>
    <t>W5</t>
  </si>
  <si>
    <t>W6</t>
  </si>
  <si>
    <t>W7</t>
  </si>
  <si>
    <t>3D</t>
  </si>
  <si>
    <t>6F</t>
  </si>
  <si>
    <t>1A</t>
  </si>
  <si>
    <t>0C</t>
  </si>
  <si>
    <t>FE</t>
  </si>
  <si>
    <t>3A</t>
  </si>
  <si>
    <t>D8</t>
  </si>
  <si>
    <t>6B0DC94F4BCF92131BD1B2B9F3143FEB</t>
  </si>
  <si>
    <t>7FD6369D2755DB109EF2FCD5C3D0FEBD</t>
  </si>
  <si>
    <t>19B6B3615279217249A893CBBABCAC20</t>
  </si>
  <si>
    <t>8BB3A72AACE67C3A321480EFF1C47E52</t>
  </si>
  <si>
    <t>0145B3C0533C92B21A940179A028AD59</t>
  </si>
  <si>
    <t>6B8732E1C7614EDBF575CE3404B1B066</t>
  </si>
  <si>
    <t>C1A28032929E1280880A13F92822BEA0</t>
  </si>
  <si>
    <t>5F149C019875D2DA6D001CEE69B1AC88</t>
  </si>
  <si>
    <t>193344CB8BAD564B03A745B22B85FB12</t>
  </si>
  <si>
    <t>AE8393C836F641125BF65DFC3247F174</t>
  </si>
  <si>
    <t>9992D6E8123F80A31198C5113A1D3E03</t>
  </si>
  <si>
    <t>2E2721B318D160A143273D5D7160CC29</t>
  </si>
  <si>
    <t>09D9734B1BE6F3E80A7E36F9306308FA</t>
  </si>
  <si>
    <t>AC</t>
  </si>
  <si>
    <t>E2</t>
  </si>
  <si>
    <t xml:space="preserve">B7 78 FE 2D D5 65 7E 76 1E 58 60 F5 AB BC D1 11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</si>
</sst>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0" xfId="0" applyFill="1" applyBorder="1"/>
    <xf numFmtId="0" fontId="0" fillId="11" borderId="8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2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0" xfId="0" applyFill="1" applyBorder="1"/>
    <xf numFmtId="0" fontId="0" fillId="12" borderId="10" xfId="0" applyFill="1" applyBorder="1"/>
    <xf numFmtId="0" fontId="0" fillId="12" borderId="11" xfId="0" applyFill="1" applyBorder="1"/>
    <xf numFmtId="0" fontId="0" fillId="12" borderId="12" xfId="0" applyFill="1" applyBorder="1"/>
    <xf numFmtId="0" fontId="0" fillId="2" borderId="13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0" xfId="0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ill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10"/>
    </xf>
    <xf numFmtId="11" fontId="3" fillId="0" borderId="0" xfId="0" applyNumberFormat="1" applyFont="1" applyAlignment="1">
      <alignment horizontal="left" vertical="center" indent="10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0" borderId="14" xfId="0" applyFill="1" applyBorder="1"/>
    <xf numFmtId="0" fontId="0" fillId="0" borderId="15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Fill="1" applyBorder="1"/>
    <xf numFmtId="0" fontId="0" fillId="0" borderId="18" xfId="0" applyBorder="1"/>
    <xf numFmtId="0" fontId="0" fillId="0" borderId="19" xfId="0" applyFill="1" applyBorder="1"/>
    <xf numFmtId="0" fontId="0" fillId="0" borderId="20" xfId="0" applyFill="1" applyBorder="1"/>
    <xf numFmtId="0" fontId="0" fillId="0" borderId="21" xfId="0" applyBorder="1"/>
    <xf numFmtId="0" fontId="0" fillId="0" borderId="14" xfId="0" applyBorder="1"/>
    <xf numFmtId="0" fontId="0" fillId="0" borderId="17" xfId="0" applyBorder="1"/>
    <xf numFmtId="0" fontId="0" fillId="8" borderId="18" xfId="0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8" borderId="21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" xfId="0" applyBorder="1"/>
    <xf numFmtId="0" fontId="0" fillId="0" borderId="26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1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2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Fill="1" applyBorder="1" applyAlignment="1">
      <alignment horizontal="left" vertical="center" indent="1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590550</xdr:colOff>
          <xdr:row>11</xdr:row>
          <xdr:rowOff>133350</xdr:rowOff>
        </xdr:from>
        <xdr:to>
          <xdr:col>35</xdr:col>
          <xdr:colOff>190500</xdr:colOff>
          <xdr:row>14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Fungsi G &amp; 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43</xdr:row>
          <xdr:rowOff>104775</xdr:rowOff>
        </xdr:from>
        <xdr:to>
          <xdr:col>46</xdr:col>
          <xdr:colOff>485775</xdr:colOff>
          <xdr:row>47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86</xdr:row>
          <xdr:rowOff>104775</xdr:rowOff>
        </xdr:from>
        <xdr:to>
          <xdr:col>46</xdr:col>
          <xdr:colOff>485775</xdr:colOff>
          <xdr:row>90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127</xdr:row>
          <xdr:rowOff>104775</xdr:rowOff>
        </xdr:from>
        <xdr:to>
          <xdr:col>46</xdr:col>
          <xdr:colOff>485775</xdr:colOff>
          <xdr:row>131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169</xdr:row>
          <xdr:rowOff>104775</xdr:rowOff>
        </xdr:from>
        <xdr:to>
          <xdr:col>46</xdr:col>
          <xdr:colOff>485775</xdr:colOff>
          <xdr:row>173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211</xdr:row>
          <xdr:rowOff>104775</xdr:rowOff>
        </xdr:from>
        <xdr:to>
          <xdr:col>46</xdr:col>
          <xdr:colOff>485775</xdr:colOff>
          <xdr:row>215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253</xdr:row>
          <xdr:rowOff>104775</xdr:rowOff>
        </xdr:from>
        <xdr:to>
          <xdr:col>46</xdr:col>
          <xdr:colOff>485775</xdr:colOff>
          <xdr:row>257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295</xdr:row>
          <xdr:rowOff>104775</xdr:rowOff>
        </xdr:from>
        <xdr:to>
          <xdr:col>46</xdr:col>
          <xdr:colOff>485775</xdr:colOff>
          <xdr:row>299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337</xdr:row>
          <xdr:rowOff>104775</xdr:rowOff>
        </xdr:from>
        <xdr:to>
          <xdr:col>46</xdr:col>
          <xdr:colOff>485775</xdr:colOff>
          <xdr:row>341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379</xdr:row>
          <xdr:rowOff>104775</xdr:rowOff>
        </xdr:from>
        <xdr:to>
          <xdr:col>46</xdr:col>
          <xdr:colOff>485775</xdr:colOff>
          <xdr:row>383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421</xdr:row>
          <xdr:rowOff>104775</xdr:rowOff>
        </xdr:from>
        <xdr:to>
          <xdr:col>46</xdr:col>
          <xdr:colOff>485775</xdr:colOff>
          <xdr:row>425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463</xdr:row>
          <xdr:rowOff>104775</xdr:rowOff>
        </xdr:from>
        <xdr:to>
          <xdr:col>46</xdr:col>
          <xdr:colOff>485775</xdr:colOff>
          <xdr:row>467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505</xdr:row>
          <xdr:rowOff>104775</xdr:rowOff>
        </xdr:from>
        <xdr:to>
          <xdr:col>46</xdr:col>
          <xdr:colOff>485775</xdr:colOff>
          <xdr:row>509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547</xdr:row>
          <xdr:rowOff>104775</xdr:rowOff>
        </xdr:from>
        <xdr:to>
          <xdr:col>46</xdr:col>
          <xdr:colOff>485775</xdr:colOff>
          <xdr:row>551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28</xdr:row>
          <xdr:rowOff>104775</xdr:rowOff>
        </xdr:from>
        <xdr:to>
          <xdr:col>46</xdr:col>
          <xdr:colOff>485775</xdr:colOff>
          <xdr:row>32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95250</xdr:colOff>
          <xdr:row>589</xdr:row>
          <xdr:rowOff>104775</xdr:rowOff>
        </xdr:from>
        <xdr:to>
          <xdr:col>46</xdr:col>
          <xdr:colOff>485775</xdr:colOff>
          <xdr:row>593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subByte Round 15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6"/>
  <sheetViews>
    <sheetView workbookViewId="0">
      <selection activeCell="L15" sqref="L15"/>
    </sheetView>
  </sheetViews>
  <sheetFormatPr defaultRowHeight="15" x14ac:dyDescent="0.25"/>
  <sheetData>
    <row r="1" spans="1:32" x14ac:dyDescent="0.25">
      <c r="A1" t="s">
        <v>0</v>
      </c>
    </row>
    <row r="2" spans="1:32" x14ac:dyDescent="0.25">
      <c r="A2" s="2" t="s">
        <v>1</v>
      </c>
      <c r="B2" s="2" t="s">
        <v>2</v>
      </c>
      <c r="C2" s="2">
        <v>29</v>
      </c>
      <c r="D2" s="2">
        <v>66</v>
      </c>
      <c r="E2" s="2">
        <v>50</v>
      </c>
      <c r="F2" s="2" t="s">
        <v>12</v>
      </c>
      <c r="G2" s="2" t="s">
        <v>13</v>
      </c>
      <c r="H2" s="2">
        <v>9</v>
      </c>
      <c r="I2" s="5">
        <v>41</v>
      </c>
      <c r="J2" s="5" t="s">
        <v>19</v>
      </c>
      <c r="K2" s="5" t="s">
        <v>1</v>
      </c>
      <c r="L2" s="5" t="s">
        <v>24</v>
      </c>
      <c r="M2" s="5">
        <v>85</v>
      </c>
      <c r="N2" s="5" t="s">
        <v>27</v>
      </c>
      <c r="O2" s="5" t="s">
        <v>28</v>
      </c>
      <c r="P2" s="5" t="s">
        <v>29</v>
      </c>
      <c r="Q2" s="6">
        <v>40</v>
      </c>
      <c r="R2" s="6" t="s">
        <v>32</v>
      </c>
      <c r="S2" s="6">
        <v>69</v>
      </c>
      <c r="T2" s="6" t="s">
        <v>28</v>
      </c>
      <c r="U2" s="6">
        <v>3</v>
      </c>
      <c r="V2" s="6" t="s">
        <v>34</v>
      </c>
      <c r="W2" s="6" t="s">
        <v>14</v>
      </c>
      <c r="X2" s="6">
        <v>36</v>
      </c>
      <c r="Y2" s="7">
        <v>41</v>
      </c>
      <c r="Z2" s="7" t="s">
        <v>31</v>
      </c>
      <c r="AA2" s="7">
        <v>92</v>
      </c>
      <c r="AB2" s="7" t="s">
        <v>47</v>
      </c>
      <c r="AC2" s="7" t="s">
        <v>48</v>
      </c>
      <c r="AD2" s="7">
        <v>13</v>
      </c>
      <c r="AE2" s="7" t="s">
        <v>49</v>
      </c>
      <c r="AF2" s="7" t="s">
        <v>25</v>
      </c>
    </row>
    <row r="3" spans="1:32" x14ac:dyDescent="0.25">
      <c r="A3" s="2">
        <v>44</v>
      </c>
      <c r="B3" s="2" t="s">
        <v>3</v>
      </c>
      <c r="C3" s="2" t="s">
        <v>5</v>
      </c>
      <c r="D3" s="2" t="s">
        <v>6</v>
      </c>
      <c r="E3" s="2" t="s">
        <v>8</v>
      </c>
      <c r="F3" s="2" t="s">
        <v>11</v>
      </c>
      <c r="G3" s="2" t="s">
        <v>14</v>
      </c>
      <c r="H3" s="2">
        <v>22</v>
      </c>
      <c r="I3" s="5">
        <v>26</v>
      </c>
      <c r="J3" s="5" t="s">
        <v>20</v>
      </c>
      <c r="K3" s="5">
        <v>64</v>
      </c>
      <c r="L3" s="5">
        <v>9</v>
      </c>
      <c r="M3" s="5" t="s">
        <v>26</v>
      </c>
      <c r="N3" s="5">
        <v>70</v>
      </c>
      <c r="O3" s="5">
        <v>93</v>
      </c>
      <c r="P3" s="5" t="s">
        <v>30</v>
      </c>
      <c r="Q3" s="6" t="s">
        <v>35</v>
      </c>
      <c r="R3" s="6">
        <v>42</v>
      </c>
      <c r="S3" s="6">
        <v>26</v>
      </c>
      <c r="T3" s="6" t="s">
        <v>36</v>
      </c>
      <c r="U3" s="6" t="s">
        <v>29</v>
      </c>
      <c r="V3" s="6" t="s">
        <v>37</v>
      </c>
      <c r="W3" s="6">
        <v>36</v>
      </c>
      <c r="X3" s="6">
        <v>87</v>
      </c>
      <c r="Y3" s="4" t="s">
        <v>50</v>
      </c>
      <c r="Z3" s="4" t="s">
        <v>2</v>
      </c>
      <c r="AA3" s="4" t="s">
        <v>51</v>
      </c>
      <c r="AB3" s="4" t="s">
        <v>52</v>
      </c>
      <c r="AC3" s="4" t="s">
        <v>53</v>
      </c>
      <c r="AD3" s="7">
        <v>47</v>
      </c>
      <c r="AE3" s="7">
        <v>71</v>
      </c>
      <c r="AF3" s="4" t="s">
        <v>54</v>
      </c>
    </row>
    <row r="4" spans="1:32" x14ac:dyDescent="0.25">
      <c r="A4" s="2">
        <v>76</v>
      </c>
      <c r="B4" s="2" t="s">
        <v>4</v>
      </c>
      <c r="C4" s="2">
        <v>54</v>
      </c>
      <c r="D4" s="2">
        <v>64</v>
      </c>
      <c r="E4" s="2" t="s">
        <v>9</v>
      </c>
      <c r="F4" s="2">
        <v>37</v>
      </c>
      <c r="G4" s="2">
        <v>26</v>
      </c>
      <c r="H4" s="2" t="s">
        <v>16</v>
      </c>
      <c r="I4" s="5" t="s">
        <v>18</v>
      </c>
      <c r="J4" s="5" t="s">
        <v>21</v>
      </c>
      <c r="K4" s="5" t="s">
        <v>19</v>
      </c>
      <c r="L4" s="5">
        <v>95</v>
      </c>
      <c r="M4" s="5">
        <v>7</v>
      </c>
      <c r="N4" s="5">
        <v>30</v>
      </c>
      <c r="O4" s="5">
        <v>16</v>
      </c>
      <c r="P4" s="5" t="s">
        <v>65</v>
      </c>
      <c r="Q4" s="6" t="s">
        <v>38</v>
      </c>
      <c r="R4" s="6">
        <v>25</v>
      </c>
      <c r="S4" s="6" t="s">
        <v>39</v>
      </c>
      <c r="T4" s="6" t="s">
        <v>40</v>
      </c>
      <c r="U4" s="6" t="s">
        <v>41</v>
      </c>
      <c r="V4" s="6" t="s">
        <v>42</v>
      </c>
      <c r="W4" s="6" t="s">
        <v>43</v>
      </c>
      <c r="X4" s="6" t="s">
        <v>40</v>
      </c>
      <c r="Y4" s="4" t="s">
        <v>55</v>
      </c>
      <c r="Z4" s="7">
        <v>78</v>
      </c>
      <c r="AA4" s="4" t="s">
        <v>56</v>
      </c>
      <c r="AB4" s="4" t="s">
        <v>57</v>
      </c>
      <c r="AC4" s="7">
        <v>84</v>
      </c>
      <c r="AD4" s="7">
        <v>65</v>
      </c>
      <c r="AE4" s="7">
        <v>92</v>
      </c>
      <c r="AF4" s="7" t="s">
        <v>58</v>
      </c>
    </row>
    <row r="5" spans="1:32" x14ac:dyDescent="0.25">
      <c r="A5" s="2">
        <v>52</v>
      </c>
      <c r="B5" s="2" t="s">
        <v>2</v>
      </c>
      <c r="C5" s="2">
        <v>23</v>
      </c>
      <c r="D5" s="2" t="s">
        <v>7</v>
      </c>
      <c r="E5" s="2">
        <v>47</v>
      </c>
      <c r="F5" s="2" t="s">
        <v>10</v>
      </c>
      <c r="G5" s="2" t="s">
        <v>15</v>
      </c>
      <c r="H5" s="2" t="s">
        <v>17</v>
      </c>
      <c r="I5" s="5">
        <v>53</v>
      </c>
      <c r="J5" s="5" t="s">
        <v>22</v>
      </c>
      <c r="K5" s="5" t="s">
        <v>23</v>
      </c>
      <c r="L5" s="5">
        <v>91</v>
      </c>
      <c r="M5" s="5" t="s">
        <v>25</v>
      </c>
      <c r="N5" s="5">
        <v>14</v>
      </c>
      <c r="O5" s="5" t="s">
        <v>31</v>
      </c>
      <c r="P5" s="5">
        <v>11</v>
      </c>
      <c r="Q5" s="6" t="s">
        <v>41</v>
      </c>
      <c r="R5" s="6">
        <v>39</v>
      </c>
      <c r="S5" s="6" t="s">
        <v>44</v>
      </c>
      <c r="T5" s="6">
        <v>63</v>
      </c>
      <c r="U5" s="6" t="s">
        <v>45</v>
      </c>
      <c r="V5" s="6">
        <v>29</v>
      </c>
      <c r="W5" s="6" t="s">
        <v>10</v>
      </c>
      <c r="X5" s="6" t="s">
        <v>46</v>
      </c>
      <c r="Y5" s="4" t="s">
        <v>59</v>
      </c>
      <c r="Z5" s="4" t="s">
        <v>25</v>
      </c>
      <c r="AA5" s="7">
        <v>34</v>
      </c>
      <c r="AB5" s="7">
        <v>57</v>
      </c>
      <c r="AC5" s="7">
        <v>66</v>
      </c>
      <c r="AD5" s="7" t="s">
        <v>60</v>
      </c>
      <c r="AE5" s="7" t="s">
        <v>51</v>
      </c>
      <c r="AF5" s="7" t="s">
        <v>33</v>
      </c>
    </row>
    <row r="6" spans="1:32" x14ac:dyDescent="0.25">
      <c r="I6" s="3"/>
      <c r="J6" s="3"/>
      <c r="K6" s="3"/>
      <c r="L6" s="3"/>
      <c r="M6" s="3"/>
      <c r="N6" s="3"/>
      <c r="O6" s="3"/>
      <c r="P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D635"/>
  <sheetViews>
    <sheetView tabSelected="1" topLeftCell="R564" zoomScale="59" zoomScaleNormal="59" workbookViewId="0">
      <selection activeCell="AS610" sqref="AS610"/>
    </sheetView>
  </sheetViews>
  <sheetFormatPr defaultRowHeight="15" x14ac:dyDescent="0.25"/>
  <cols>
    <col min="1" max="1" width="9.140625" style="8"/>
    <col min="2" max="2" width="2.7109375" style="1" customWidth="1"/>
    <col min="3" max="3" width="9.140625" style="8"/>
    <col min="4" max="4" width="2.42578125" style="1" customWidth="1"/>
    <col min="5" max="5" width="10" style="1" customWidth="1"/>
    <col min="6" max="6" width="3" style="1" customWidth="1"/>
    <col min="7" max="8" width="9.140625" style="1"/>
    <col min="9" max="9" width="3" style="1" customWidth="1"/>
    <col min="10" max="11" width="9.140625" style="1"/>
    <col min="12" max="12" width="2.5703125" style="1" customWidth="1"/>
    <col min="13" max="14" width="9.140625" style="1"/>
    <col min="15" max="15" width="2.5703125" style="1" customWidth="1"/>
    <col min="16" max="17" width="9.140625" style="1"/>
    <col min="18" max="18" width="2.42578125" style="1" customWidth="1"/>
    <col min="19" max="19" width="9.140625" style="8"/>
    <col min="20" max="20" width="2.42578125" style="1" customWidth="1"/>
    <col min="21" max="22" width="9.140625" style="1"/>
    <col min="23" max="23" width="2.5703125" style="1" customWidth="1"/>
    <col min="24" max="25" width="9.140625" style="1"/>
    <col min="26" max="26" width="2.85546875" style="1" customWidth="1"/>
    <col min="27" max="28" width="9.140625" style="1"/>
    <col min="29" max="29" width="2.42578125" style="1" customWidth="1"/>
    <col min="30" max="58" width="9.140625" style="1"/>
    <col min="59" max="59" width="5.28515625" style="1" customWidth="1"/>
    <col min="60" max="60" width="6" style="1" customWidth="1"/>
    <col min="61" max="62" width="5.7109375" style="1" customWidth="1"/>
    <col min="63" max="63" width="13.28515625" style="1" customWidth="1"/>
    <col min="64" max="64" width="15.85546875" style="1" customWidth="1"/>
    <col min="65" max="75" width="9.140625" style="1"/>
    <col min="76" max="76" width="9.140625" style="11"/>
    <col min="77" max="77" width="9.140625" style="1"/>
    <col min="78" max="78" width="9.140625" style="11"/>
    <col min="79" max="16384" width="9.140625" style="1"/>
  </cols>
  <sheetData>
    <row r="1" spans="1:67" ht="15.75" thickBot="1" x14ac:dyDescent="0.3">
      <c r="A1" s="9"/>
      <c r="B1" s="1" t="s">
        <v>79</v>
      </c>
      <c r="C1" s="15" t="s">
        <v>81</v>
      </c>
      <c r="AG1" s="116" t="s">
        <v>155</v>
      </c>
      <c r="AH1" s="116"/>
    </row>
    <row r="2" spans="1:67" x14ac:dyDescent="0.25">
      <c r="A2" s="9"/>
      <c r="C2" s="15"/>
      <c r="G2" s="1" t="s">
        <v>63</v>
      </c>
      <c r="H2" s="79">
        <v>8</v>
      </c>
      <c r="I2" s="80"/>
      <c r="J2" s="80"/>
      <c r="K2" s="80">
        <v>9</v>
      </c>
      <c r="L2" s="80"/>
      <c r="M2" s="80"/>
      <c r="N2" s="80">
        <v>10</v>
      </c>
      <c r="O2" s="80"/>
      <c r="P2" s="80"/>
      <c r="Q2" s="81">
        <v>11</v>
      </c>
      <c r="S2" s="8" t="s">
        <v>64</v>
      </c>
      <c r="V2" s="79">
        <v>12</v>
      </c>
      <c r="W2" s="80"/>
      <c r="X2" s="80"/>
      <c r="Y2" s="80">
        <v>13</v>
      </c>
      <c r="Z2" s="80"/>
      <c r="AA2" s="80"/>
      <c r="AB2" s="80">
        <v>14</v>
      </c>
      <c r="AC2" s="80"/>
      <c r="AD2" s="80"/>
      <c r="AE2" s="81">
        <v>15</v>
      </c>
      <c r="AG2" s="1" t="s">
        <v>259</v>
      </c>
      <c r="AH2" s="1" t="s">
        <v>260</v>
      </c>
      <c r="AI2" s="1" t="s">
        <v>261</v>
      </c>
      <c r="AJ2" s="1" t="s">
        <v>262</v>
      </c>
      <c r="AK2" s="1" t="s">
        <v>263</v>
      </c>
      <c r="AL2" s="1" t="s">
        <v>264</v>
      </c>
      <c r="AM2" s="1" t="s">
        <v>265</v>
      </c>
      <c r="AN2" s="1" t="s">
        <v>266</v>
      </c>
    </row>
    <row r="3" spans="1:67" x14ac:dyDescent="0.25">
      <c r="A3" s="9">
        <f>AN4</f>
        <v>22</v>
      </c>
      <c r="B3" s="1" t="s">
        <v>61</v>
      </c>
      <c r="C3" s="64">
        <v>93</v>
      </c>
      <c r="E3" s="8" t="str">
        <f>AG3</f>
        <v>F9</v>
      </c>
      <c r="G3" s="78">
        <v>1</v>
      </c>
      <c r="H3" s="82" t="str">
        <f>DEC2HEX(_xlfn.BITXOR(_xlfn.BITXOR(HEX2DEC(C3),HEX2DEC(E3)),HEX2DEC(G3)))</f>
        <v>6B</v>
      </c>
      <c r="I3" s="73"/>
      <c r="J3" s="11">
        <f>AH3</f>
        <v>20</v>
      </c>
      <c r="K3" s="83" t="str">
        <f>DEC2HEX(_xlfn.BITXOR(HEX2DEC(H3),HEX2DEC(J3)))</f>
        <v>4B</v>
      </c>
      <c r="L3" s="73"/>
      <c r="M3" s="11">
        <f>AI3</f>
        <v>50</v>
      </c>
      <c r="N3" s="83" t="str">
        <f>DEC2HEX(_xlfn.BITXOR(HEX2DEC(K3),HEX2DEC(M3)))</f>
        <v>1B</v>
      </c>
      <c r="O3" s="73"/>
      <c r="P3" s="11" t="str">
        <f>AJ3</f>
        <v>E8</v>
      </c>
      <c r="Q3" s="84" t="str">
        <f>DEC2HEX(_xlfn.BITXOR(HEX2DEC(N3),HEX2DEC(P3)))</f>
        <v>F3</v>
      </c>
      <c r="R3" s="1" t="s">
        <v>61</v>
      </c>
      <c r="S3" s="8" t="s">
        <v>143</v>
      </c>
      <c r="U3" s="8">
        <f>AK3</f>
        <v>72</v>
      </c>
      <c r="V3" s="82" t="str">
        <f>DEC2HEX(_xlfn.BITXOR(HEX2DEC(S3),HEX2DEC(U3)))</f>
        <v>7F</v>
      </c>
      <c r="W3" s="73"/>
      <c r="X3" s="11">
        <f>AL3</f>
        <v>58</v>
      </c>
      <c r="Y3" s="83" t="str">
        <f>DEC2HEX(_xlfn.BITXOR(HEX2DEC(V3),HEX2DEC(X3)))</f>
        <v>27</v>
      </c>
      <c r="Z3" s="73"/>
      <c r="AA3" s="11" t="str">
        <f>AM3</f>
        <v>B9</v>
      </c>
      <c r="AB3" s="83" t="str">
        <f>DEC2HEX(_xlfn.BITXOR(HEX2DEC(Y3),HEX2DEC(AA3)))</f>
        <v>9E</v>
      </c>
      <c r="AC3" s="73"/>
      <c r="AD3" s="11" t="str">
        <f>AN3</f>
        <v>5D</v>
      </c>
      <c r="AE3" s="84" t="str">
        <f>DEC2HEX(_xlfn.BITXOR(HEX2DEC(AB3),HEX2DEC(AD3)))</f>
        <v>C3</v>
      </c>
      <c r="AF3" s="1">
        <v>0</v>
      </c>
      <c r="AG3" s="63" t="s">
        <v>71</v>
      </c>
      <c r="AH3" s="63">
        <v>20</v>
      </c>
      <c r="AI3" s="63">
        <v>50</v>
      </c>
      <c r="AJ3" s="63" t="s">
        <v>195</v>
      </c>
      <c r="AK3" s="63">
        <v>72</v>
      </c>
      <c r="AL3" s="63">
        <v>58</v>
      </c>
      <c r="AM3" s="63" t="s">
        <v>140</v>
      </c>
      <c r="AN3" s="63" t="s">
        <v>113</v>
      </c>
      <c r="AQ3" s="26" t="s">
        <v>136</v>
      </c>
      <c r="AR3" s="26" t="s">
        <v>137</v>
      </c>
      <c r="AS3" s="26">
        <v>29</v>
      </c>
      <c r="AT3" s="26">
        <v>66</v>
      </c>
      <c r="AU3" s="26">
        <v>50</v>
      </c>
      <c r="AV3" s="26" t="s">
        <v>140</v>
      </c>
      <c r="AW3" s="26" t="s">
        <v>114</v>
      </c>
      <c r="AX3" s="26">
        <v>9</v>
      </c>
    </row>
    <row r="4" spans="1:67" x14ac:dyDescent="0.25">
      <c r="A4" s="9">
        <f t="shared" ref="A4:A5" si="0">AN5</f>
        <v>2</v>
      </c>
      <c r="B4" s="1" t="s">
        <v>61</v>
      </c>
      <c r="C4" s="64">
        <v>77</v>
      </c>
      <c r="D4" s="1" t="s">
        <v>62</v>
      </c>
      <c r="E4" s="8" t="str">
        <f t="shared" ref="E4:E6" si="1">AG4</f>
        <v>7A</v>
      </c>
      <c r="F4" s="1" t="s">
        <v>62</v>
      </c>
      <c r="G4" s="78"/>
      <c r="H4" s="82" t="str">
        <f t="shared" ref="H4:H42" si="2">DEC2HEX(_xlfn.BITXOR(_xlfn.BITXOR(HEX2DEC(C4),HEX2DEC(E4)),HEX2DEC(G4)))</f>
        <v>D</v>
      </c>
      <c r="I4" s="73" t="s">
        <v>62</v>
      </c>
      <c r="J4" s="11" t="str">
        <f t="shared" ref="J4:J6" si="3">AH4</f>
        <v>C2</v>
      </c>
      <c r="K4" s="83" t="str">
        <f t="shared" ref="K4:K6" si="4">DEC2HEX(_xlfn.BITXOR(HEX2DEC(H4),HEX2DEC(J4)))</f>
        <v>CF</v>
      </c>
      <c r="L4" s="73" t="s">
        <v>62</v>
      </c>
      <c r="M4" s="11" t="str">
        <f t="shared" ref="M4:M6" si="5">AI4</f>
        <v>1E</v>
      </c>
      <c r="N4" s="83" t="str">
        <f t="shared" ref="N4:N6" si="6">DEC2HEX(_xlfn.BITXOR(HEX2DEC(K4),HEX2DEC(M4)))</f>
        <v>D1</v>
      </c>
      <c r="O4" s="73" t="s">
        <v>62</v>
      </c>
      <c r="P4" s="11" t="str">
        <f t="shared" ref="P4:P6" si="7">AJ4</f>
        <v>C5</v>
      </c>
      <c r="Q4" s="84" t="str">
        <f t="shared" ref="Q4:Q6" si="8">DEC2HEX(_xlfn.BITXOR(HEX2DEC(N4),HEX2DEC(P4)))</f>
        <v>14</v>
      </c>
      <c r="R4" s="1" t="s">
        <v>61</v>
      </c>
      <c r="S4" s="8" t="s">
        <v>117</v>
      </c>
      <c r="T4" s="1" t="s">
        <v>62</v>
      </c>
      <c r="U4" s="8" t="str">
        <f t="shared" ref="U4:U6" si="9">AK4</f>
        <v>2C</v>
      </c>
      <c r="V4" s="82" t="str">
        <f t="shared" ref="V4:V36" si="10">DEC2HEX(_xlfn.BITXOR(HEX2DEC(S4),HEX2DEC(U4)))</f>
        <v>D6</v>
      </c>
      <c r="W4" s="73" t="s">
        <v>62</v>
      </c>
      <c r="X4" s="11">
        <f t="shared" ref="X4:X6" si="11">AL4</f>
        <v>83</v>
      </c>
      <c r="Y4" s="83" t="str">
        <f t="shared" ref="Y4:Y6" si="12">DEC2HEX(_xlfn.BITXOR(HEX2DEC(V4),HEX2DEC(X4)))</f>
        <v>55</v>
      </c>
      <c r="Z4" s="73" t="s">
        <v>62</v>
      </c>
      <c r="AA4" s="11" t="str">
        <f t="shared" ref="AA4:AA6" si="13">AM4</f>
        <v>A7</v>
      </c>
      <c r="AB4" s="83" t="str">
        <f t="shared" ref="AB4:AB6" si="14">DEC2HEX(_xlfn.BITXOR(HEX2DEC(Y4),HEX2DEC(AA4)))</f>
        <v>F2</v>
      </c>
      <c r="AC4" s="73" t="s">
        <v>62</v>
      </c>
      <c r="AD4" s="11">
        <f t="shared" ref="AD4:AD6" si="15">AN4</f>
        <v>22</v>
      </c>
      <c r="AE4" s="84" t="str">
        <f t="shared" ref="AE4:AE6" si="16">DEC2HEX(_xlfn.BITXOR(HEX2DEC(AB4),HEX2DEC(AD4)))</f>
        <v>D0</v>
      </c>
      <c r="AF4" s="1">
        <v>1</v>
      </c>
      <c r="AG4" s="63" t="s">
        <v>115</v>
      </c>
      <c r="AH4" s="63" t="s">
        <v>164</v>
      </c>
      <c r="AI4" s="63" t="s">
        <v>174</v>
      </c>
      <c r="AJ4" s="63" t="s">
        <v>176</v>
      </c>
      <c r="AK4" s="63" t="s">
        <v>205</v>
      </c>
      <c r="AL4" s="63">
        <v>83</v>
      </c>
      <c r="AM4" s="63" t="s">
        <v>105</v>
      </c>
      <c r="AN4" s="63">
        <v>22</v>
      </c>
      <c r="AQ4" s="26">
        <v>44</v>
      </c>
      <c r="AR4" s="26" t="s">
        <v>89</v>
      </c>
      <c r="AS4" s="26" t="s">
        <v>67</v>
      </c>
      <c r="AT4" s="26" t="s">
        <v>98</v>
      </c>
      <c r="AU4" s="26" t="s">
        <v>139</v>
      </c>
      <c r="AV4" s="26" t="s">
        <v>141</v>
      </c>
      <c r="AW4" s="26" t="s">
        <v>122</v>
      </c>
      <c r="AX4" s="26">
        <v>22</v>
      </c>
    </row>
    <row r="5" spans="1:67" x14ac:dyDescent="0.25">
      <c r="A5" s="9">
        <f t="shared" si="0"/>
        <v>68</v>
      </c>
      <c r="B5" s="1" t="s">
        <v>61</v>
      </c>
      <c r="C5" s="64">
        <v>45</v>
      </c>
      <c r="E5" s="8" t="str">
        <f t="shared" si="1"/>
        <v>8C</v>
      </c>
      <c r="G5" s="78"/>
      <c r="H5" s="82" t="str">
        <f t="shared" si="2"/>
        <v>C9</v>
      </c>
      <c r="I5" s="73"/>
      <c r="J5" s="11" t="str">
        <f t="shared" si="3"/>
        <v>5B</v>
      </c>
      <c r="K5" s="83" t="str">
        <f t="shared" si="4"/>
        <v>92</v>
      </c>
      <c r="L5" s="73"/>
      <c r="M5" s="11">
        <f t="shared" si="5"/>
        <v>20</v>
      </c>
      <c r="N5" s="83" t="str">
        <f t="shared" si="6"/>
        <v>B2</v>
      </c>
      <c r="O5" s="73"/>
      <c r="P5" s="11" t="str">
        <f t="shared" si="7"/>
        <v>8D</v>
      </c>
      <c r="Q5" s="84" t="str">
        <f t="shared" si="8"/>
        <v>3F</v>
      </c>
      <c r="R5" s="1" t="s">
        <v>61</v>
      </c>
      <c r="S5" s="8">
        <v>75</v>
      </c>
      <c r="U5" s="8">
        <f t="shared" si="9"/>
        <v>43</v>
      </c>
      <c r="V5" s="82" t="str">
        <f t="shared" si="10"/>
        <v>36</v>
      </c>
      <c r="W5" s="73"/>
      <c r="X5" s="11" t="str">
        <f t="shared" si="11"/>
        <v>ED</v>
      </c>
      <c r="Y5" s="83" t="str">
        <f t="shared" si="12"/>
        <v>DB</v>
      </c>
      <c r="Z5" s="73"/>
      <c r="AA5" s="11">
        <f t="shared" si="13"/>
        <v>27</v>
      </c>
      <c r="AB5" s="83" t="str">
        <f t="shared" si="14"/>
        <v>FC</v>
      </c>
      <c r="AC5" s="73"/>
      <c r="AD5" s="11">
        <f t="shared" si="15"/>
        <v>2</v>
      </c>
      <c r="AE5" s="84" t="str">
        <f t="shared" si="16"/>
        <v>FE</v>
      </c>
      <c r="AF5" s="1">
        <v>2</v>
      </c>
      <c r="AG5" s="63" t="s">
        <v>161</v>
      </c>
      <c r="AH5" s="63" t="s">
        <v>77</v>
      </c>
      <c r="AI5" s="63">
        <v>20</v>
      </c>
      <c r="AJ5" s="63" t="s">
        <v>103</v>
      </c>
      <c r="AK5" s="63">
        <v>43</v>
      </c>
      <c r="AL5" s="63" t="s">
        <v>121</v>
      </c>
      <c r="AM5" s="63">
        <v>27</v>
      </c>
      <c r="AN5" s="63">
        <v>2</v>
      </c>
      <c r="AQ5" s="26">
        <v>76</v>
      </c>
      <c r="AR5" s="26" t="s">
        <v>133</v>
      </c>
      <c r="AS5" s="26">
        <v>54</v>
      </c>
      <c r="AT5" s="26">
        <v>64</v>
      </c>
      <c r="AU5" s="26" t="s">
        <v>118</v>
      </c>
      <c r="AV5" s="26">
        <v>37</v>
      </c>
      <c r="AW5" s="26">
        <v>26</v>
      </c>
      <c r="AX5" s="26" t="s">
        <v>76</v>
      </c>
    </row>
    <row r="6" spans="1:67" ht="15.75" thickBot="1" x14ac:dyDescent="0.3">
      <c r="A6" s="9" t="str">
        <f>AN3</f>
        <v>5D</v>
      </c>
      <c r="B6" s="1" t="s">
        <v>61</v>
      </c>
      <c r="C6" s="64" t="s">
        <v>109</v>
      </c>
      <c r="E6" s="8">
        <f t="shared" si="1"/>
        <v>3</v>
      </c>
      <c r="G6" s="78"/>
      <c r="H6" s="85" t="str">
        <f t="shared" si="2"/>
        <v>4F</v>
      </c>
      <c r="I6" s="86"/>
      <c r="J6" s="87" t="str">
        <f t="shared" si="3"/>
        <v>5C</v>
      </c>
      <c r="K6" s="88" t="str">
        <f t="shared" si="4"/>
        <v>13</v>
      </c>
      <c r="L6" s="86"/>
      <c r="M6" s="87" t="str">
        <f t="shared" si="5"/>
        <v>AA</v>
      </c>
      <c r="N6" s="88" t="str">
        <f t="shared" si="6"/>
        <v>B9</v>
      </c>
      <c r="O6" s="86"/>
      <c r="P6" s="87">
        <f t="shared" si="7"/>
        <v>52</v>
      </c>
      <c r="Q6" s="89" t="str">
        <f t="shared" si="8"/>
        <v>EB</v>
      </c>
      <c r="R6" s="1" t="s">
        <v>61</v>
      </c>
      <c r="S6" s="8" t="s">
        <v>106</v>
      </c>
      <c r="U6" s="8">
        <f t="shared" si="9"/>
        <v>74</v>
      </c>
      <c r="V6" s="85" t="str">
        <f t="shared" si="10"/>
        <v>9D</v>
      </c>
      <c r="W6" s="86"/>
      <c r="X6" s="87" t="str">
        <f t="shared" si="11"/>
        <v>8D</v>
      </c>
      <c r="Y6" s="88" t="str">
        <f t="shared" si="12"/>
        <v>10</v>
      </c>
      <c r="Z6" s="86"/>
      <c r="AA6" s="87" t="str">
        <f t="shared" si="13"/>
        <v>C5</v>
      </c>
      <c r="AB6" s="88" t="str">
        <f t="shared" si="14"/>
        <v>D5</v>
      </c>
      <c r="AC6" s="86"/>
      <c r="AD6" s="87">
        <f t="shared" si="15"/>
        <v>68</v>
      </c>
      <c r="AE6" s="89" t="str">
        <f t="shared" si="16"/>
        <v>BD</v>
      </c>
      <c r="AF6" s="1">
        <v>3</v>
      </c>
      <c r="AG6" s="63">
        <v>3</v>
      </c>
      <c r="AH6" s="63" t="s">
        <v>202</v>
      </c>
      <c r="AI6" s="63" t="s">
        <v>204</v>
      </c>
      <c r="AJ6" s="63">
        <v>52</v>
      </c>
      <c r="AK6" s="63">
        <v>74</v>
      </c>
      <c r="AL6" s="63" t="s">
        <v>103</v>
      </c>
      <c r="AM6" s="63" t="s">
        <v>176</v>
      </c>
      <c r="AN6" s="63">
        <v>68</v>
      </c>
      <c r="AQ6" s="26">
        <v>52</v>
      </c>
      <c r="AR6" s="26" t="s">
        <v>137</v>
      </c>
      <c r="AS6" s="26">
        <v>23</v>
      </c>
      <c r="AT6" s="26" t="s">
        <v>138</v>
      </c>
      <c r="AU6" s="26">
        <v>47</v>
      </c>
      <c r="AV6" s="26" t="s">
        <v>85</v>
      </c>
      <c r="AW6" s="26" t="s">
        <v>142</v>
      </c>
      <c r="AX6" s="26" t="s">
        <v>135</v>
      </c>
    </row>
    <row r="7" spans="1:67" ht="15.75" thickBot="1" x14ac:dyDescent="0.3">
      <c r="B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</row>
    <row r="8" spans="1:67" x14ac:dyDescent="0.25">
      <c r="B8" s="8"/>
      <c r="D8" s="8"/>
      <c r="E8" s="8"/>
      <c r="F8" s="8"/>
      <c r="G8" s="8"/>
      <c r="H8" s="105"/>
      <c r="I8" s="106"/>
      <c r="J8" s="106"/>
      <c r="K8" s="106"/>
      <c r="L8" s="106"/>
      <c r="M8" s="106"/>
      <c r="N8" s="106"/>
      <c r="O8" s="106"/>
      <c r="P8" s="106"/>
      <c r="Q8" s="107"/>
      <c r="R8" s="8"/>
      <c r="T8" s="8"/>
      <c r="U8" s="8"/>
      <c r="V8" s="105"/>
      <c r="W8" s="106"/>
      <c r="X8" s="106"/>
      <c r="Y8" s="106"/>
      <c r="Z8" s="106"/>
      <c r="AA8" s="106"/>
      <c r="AB8" s="106"/>
      <c r="AC8" s="106"/>
      <c r="AD8" s="106"/>
      <c r="AE8" s="107"/>
      <c r="BK8" t="s">
        <v>179</v>
      </c>
      <c r="BL8"/>
      <c r="BM8" t="s">
        <v>181</v>
      </c>
      <c r="BN8" t="s">
        <v>182</v>
      </c>
      <c r="BO8" t="s">
        <v>180</v>
      </c>
    </row>
    <row r="9" spans="1:67" x14ac:dyDescent="0.25">
      <c r="A9" s="9" t="str">
        <f>AE4</f>
        <v>D0</v>
      </c>
      <c r="B9" s="1" t="s">
        <v>61</v>
      </c>
      <c r="C9" s="8">
        <v>70</v>
      </c>
      <c r="E9" s="8" t="str">
        <f>H3</f>
        <v>6B</v>
      </c>
      <c r="G9" s="1">
        <v>2</v>
      </c>
      <c r="H9" s="82" t="str">
        <f t="shared" si="2"/>
        <v>19</v>
      </c>
      <c r="I9" s="73"/>
      <c r="J9" s="11" t="str">
        <f>K3</f>
        <v>4B</v>
      </c>
      <c r="K9" s="83" t="str">
        <f>DEC2HEX(_xlfn.BITXOR(HEX2DEC(H9),HEX2DEC(J9)))</f>
        <v>52</v>
      </c>
      <c r="L9" s="73"/>
      <c r="M9" s="73" t="str">
        <f>N3</f>
        <v>1B</v>
      </c>
      <c r="N9" s="83" t="str">
        <f>DEC2HEX(_xlfn.BITXOR(HEX2DEC(K9),HEX2DEC(M9)))</f>
        <v>49</v>
      </c>
      <c r="O9" s="73"/>
      <c r="P9" s="73" t="str">
        <f>Q3</f>
        <v>F3</v>
      </c>
      <c r="Q9" s="84" t="str">
        <f>DEC2HEX(_xlfn.BITXOR(HEX2DEC(N9),HEX2DEC(P9)))</f>
        <v>BA</v>
      </c>
      <c r="R9" s="1" t="s">
        <v>61</v>
      </c>
      <c r="S9" s="8" t="s">
        <v>120</v>
      </c>
      <c r="U9" s="16" t="str">
        <f>V3</f>
        <v>7F</v>
      </c>
      <c r="V9" s="82" t="str">
        <f t="shared" si="10"/>
        <v>8B</v>
      </c>
      <c r="W9" s="73"/>
      <c r="X9" s="73" t="str">
        <f>Y3</f>
        <v>27</v>
      </c>
      <c r="Y9" s="83" t="str">
        <f>DEC2HEX(_xlfn.BITXOR(HEX2DEC(V9),HEX2DEC(X9)))</f>
        <v>AC</v>
      </c>
      <c r="Z9" s="73"/>
      <c r="AA9" s="73" t="str">
        <f>AB3</f>
        <v>9E</v>
      </c>
      <c r="AB9" s="83" t="str">
        <f>DEC2HEX(_xlfn.BITXOR(HEX2DEC(Y9),HEX2DEC(AA9)))</f>
        <v>32</v>
      </c>
      <c r="AC9" s="73"/>
      <c r="AD9" s="73" t="str">
        <f>AE3</f>
        <v>C3</v>
      </c>
      <c r="AE9" s="84" t="str">
        <f>DEC2HEX(_xlfn.BITXOR(HEX2DEC(AB9),HEX2DEC(AD9)))</f>
        <v>F1</v>
      </c>
      <c r="BK9" t="str">
        <f>BIN2HEX(RIGHT(HEX2BIN(BB39,8)&amp;LEFT(HEX2BIN($A$1,8),1),8))</f>
        <v>F0</v>
      </c>
      <c r="BL9"/>
      <c r="BM9" t="str">
        <f>DEC2HEX(_xlfn.BITXOR(BIN2DEC(RIGHT(HEX2BIN(BD27,8)&amp;LEFT(HEX2BIN($A$1,8),1),8)),HEX2DEC($B$1)))</f>
        <v>63</v>
      </c>
      <c r="BN9" t="str">
        <f>DEC2HEX(_xlfn.BITXOR(_xlfn.BITXOR(BIN2DEC(RIGHT(HEX2BIN(BD28,8)&amp;LEFT(HEX2BIN($A$1,8),1),8)),HEX2DEC($B$1)),HEX2DEC(BD28)))</f>
        <v>1B</v>
      </c>
      <c r="BO9" t="str">
        <f>DEC2HEX(_xlfn.BITXOR(BIN2DEC((RIGHT(HEX2BIN(BB40,8)&amp;LEFT(HEX2BIN($A$1,8),1),8))),HEX2DEC(BB40)),2)</f>
        <v>E4</v>
      </c>
    </row>
    <row r="10" spans="1:67" x14ac:dyDescent="0.25">
      <c r="A10" s="9" t="str">
        <f t="shared" ref="A10:A11" si="17">AE5</f>
        <v>FE</v>
      </c>
      <c r="B10" s="1" t="s">
        <v>61</v>
      </c>
      <c r="C10" s="8" t="s">
        <v>137</v>
      </c>
      <c r="D10" s="1" t="s">
        <v>62</v>
      </c>
      <c r="E10" s="8" t="str">
        <f t="shared" ref="E10:E12" si="18">H4</f>
        <v>D</v>
      </c>
      <c r="F10" s="1" t="s">
        <v>62</v>
      </c>
      <c r="H10" s="82" t="str">
        <f t="shared" si="2"/>
        <v>B6</v>
      </c>
      <c r="I10" s="73" t="s">
        <v>62</v>
      </c>
      <c r="J10" s="11" t="str">
        <f t="shared" ref="J10:J12" si="19">K4</f>
        <v>CF</v>
      </c>
      <c r="K10" s="83" t="str">
        <f t="shared" ref="K10:K12" si="20">DEC2HEX(_xlfn.BITXOR(HEX2DEC(H10),HEX2DEC(J10)))</f>
        <v>79</v>
      </c>
      <c r="L10" s="73" t="s">
        <v>62</v>
      </c>
      <c r="M10" s="73" t="str">
        <f t="shared" ref="M10:M12" si="21">N4</f>
        <v>D1</v>
      </c>
      <c r="N10" s="83" t="str">
        <f t="shared" ref="N10:N12" si="22">DEC2HEX(_xlfn.BITXOR(HEX2DEC(K10),HEX2DEC(M10)))</f>
        <v>A8</v>
      </c>
      <c r="O10" s="73" t="s">
        <v>62</v>
      </c>
      <c r="P10" s="73" t="str">
        <f t="shared" ref="P10:P12" si="23">Q4</f>
        <v>14</v>
      </c>
      <c r="Q10" s="84" t="str">
        <f t="shared" ref="Q10:Q12" si="24">DEC2HEX(_xlfn.BITXOR(HEX2DEC(N10),HEX2DEC(P10)))</f>
        <v>BC</v>
      </c>
      <c r="R10" s="1" t="s">
        <v>61</v>
      </c>
      <c r="S10" s="8">
        <v>65</v>
      </c>
      <c r="T10" s="1" t="s">
        <v>62</v>
      </c>
      <c r="U10" s="16" t="str">
        <f t="shared" ref="U10:U12" si="25">V4</f>
        <v>D6</v>
      </c>
      <c r="V10" s="82" t="str">
        <f t="shared" si="10"/>
        <v>B3</v>
      </c>
      <c r="W10" s="73" t="s">
        <v>62</v>
      </c>
      <c r="X10" s="73" t="str">
        <f t="shared" ref="X10:X12" si="26">Y4</f>
        <v>55</v>
      </c>
      <c r="Y10" s="83" t="str">
        <f t="shared" ref="Y10:Y12" si="27">DEC2HEX(_xlfn.BITXOR(HEX2DEC(V10),HEX2DEC(X10)))</f>
        <v>E6</v>
      </c>
      <c r="Z10" s="73" t="s">
        <v>62</v>
      </c>
      <c r="AA10" s="73" t="str">
        <f t="shared" ref="AA10:AA12" si="28">AB4</f>
        <v>F2</v>
      </c>
      <c r="AB10" s="83" t="str">
        <f t="shared" ref="AB10:AB12" si="29">DEC2HEX(_xlfn.BITXOR(HEX2DEC(Y10),HEX2DEC(AA10)))</f>
        <v>14</v>
      </c>
      <c r="AC10" s="73" t="s">
        <v>62</v>
      </c>
      <c r="AD10" s="73" t="str">
        <f t="shared" ref="AD10:AD12" si="30">AE4</f>
        <v>D0</v>
      </c>
      <c r="AE10" s="84" t="str">
        <f t="shared" ref="AE10:AE12" si="31">DEC2HEX(_xlfn.BITXOR(HEX2DEC(AB10),HEX2DEC(AD10)))</f>
        <v>C4</v>
      </c>
    </row>
    <row r="11" spans="1:67" x14ac:dyDescent="0.25">
      <c r="A11" s="9" t="str">
        <f t="shared" si="17"/>
        <v>BD</v>
      </c>
      <c r="B11" s="1" t="s">
        <v>61</v>
      </c>
      <c r="C11" s="8" t="s">
        <v>115</v>
      </c>
      <c r="E11" s="8" t="str">
        <f t="shared" si="18"/>
        <v>C9</v>
      </c>
      <c r="H11" s="82" t="str">
        <f t="shared" si="2"/>
        <v>B3</v>
      </c>
      <c r="I11" s="73"/>
      <c r="J11" s="11" t="str">
        <f t="shared" si="19"/>
        <v>92</v>
      </c>
      <c r="K11" s="83" t="str">
        <f t="shared" si="20"/>
        <v>21</v>
      </c>
      <c r="L11" s="73"/>
      <c r="M11" s="73" t="str">
        <f t="shared" si="21"/>
        <v>B2</v>
      </c>
      <c r="N11" s="83" t="str">
        <f t="shared" si="22"/>
        <v>93</v>
      </c>
      <c r="O11" s="73"/>
      <c r="P11" s="73" t="str">
        <f t="shared" si="23"/>
        <v>3F</v>
      </c>
      <c r="Q11" s="84" t="str">
        <f t="shared" si="24"/>
        <v>AC</v>
      </c>
      <c r="R11" s="1" t="s">
        <v>61</v>
      </c>
      <c r="S11" s="8">
        <v>91</v>
      </c>
      <c r="U11" s="16" t="str">
        <f t="shared" si="25"/>
        <v>36</v>
      </c>
      <c r="V11" s="82" t="str">
        <f t="shared" si="10"/>
        <v>A7</v>
      </c>
      <c r="W11" s="73"/>
      <c r="X11" s="73" t="str">
        <f t="shared" si="26"/>
        <v>DB</v>
      </c>
      <c r="Y11" s="83" t="str">
        <f t="shared" si="27"/>
        <v>7C</v>
      </c>
      <c r="Z11" s="73"/>
      <c r="AA11" s="73" t="str">
        <f t="shared" si="28"/>
        <v>FC</v>
      </c>
      <c r="AB11" s="83" t="str">
        <f t="shared" si="29"/>
        <v>80</v>
      </c>
      <c r="AC11" s="73"/>
      <c r="AD11" s="73" t="str">
        <f t="shared" si="30"/>
        <v>FE</v>
      </c>
      <c r="AE11" s="84" t="str">
        <f t="shared" si="31"/>
        <v>7E</v>
      </c>
      <c r="BL11" s="1" t="s">
        <v>215</v>
      </c>
    </row>
    <row r="12" spans="1:67" ht="15.75" thickBot="1" x14ac:dyDescent="0.3">
      <c r="A12" s="9" t="str">
        <f>AE3</f>
        <v>C3</v>
      </c>
      <c r="B12" s="1" t="s">
        <v>61</v>
      </c>
      <c r="C12" s="8" t="s">
        <v>96</v>
      </c>
      <c r="E12" s="8" t="str">
        <f t="shared" si="18"/>
        <v>4F</v>
      </c>
      <c r="H12" s="85" t="str">
        <f t="shared" si="2"/>
        <v>61</v>
      </c>
      <c r="I12" s="86"/>
      <c r="J12" s="87" t="str">
        <f t="shared" si="19"/>
        <v>13</v>
      </c>
      <c r="K12" s="88" t="str">
        <f t="shared" si="20"/>
        <v>72</v>
      </c>
      <c r="L12" s="86"/>
      <c r="M12" s="86" t="str">
        <f t="shared" si="21"/>
        <v>B9</v>
      </c>
      <c r="N12" s="88" t="str">
        <f t="shared" si="22"/>
        <v>CB</v>
      </c>
      <c r="O12" s="86"/>
      <c r="P12" s="86" t="str">
        <f t="shared" si="23"/>
        <v>EB</v>
      </c>
      <c r="Q12" s="89" t="str">
        <f t="shared" si="24"/>
        <v>20</v>
      </c>
      <c r="R12" s="1" t="s">
        <v>61</v>
      </c>
      <c r="S12" s="8" t="s">
        <v>129</v>
      </c>
      <c r="U12" s="16" t="str">
        <f t="shared" si="25"/>
        <v>9D</v>
      </c>
      <c r="V12" s="85" t="str">
        <f t="shared" si="10"/>
        <v>2A</v>
      </c>
      <c r="W12" s="86"/>
      <c r="X12" s="86" t="str">
        <f t="shared" si="26"/>
        <v>10</v>
      </c>
      <c r="Y12" s="88" t="str">
        <f t="shared" si="27"/>
        <v>3A</v>
      </c>
      <c r="Z12" s="86"/>
      <c r="AA12" s="86" t="str">
        <f t="shared" si="28"/>
        <v>D5</v>
      </c>
      <c r="AB12" s="88" t="str">
        <f t="shared" si="29"/>
        <v>EF</v>
      </c>
      <c r="AC12" s="86"/>
      <c r="AD12" s="86" t="str">
        <f t="shared" si="30"/>
        <v>BD</v>
      </c>
      <c r="AE12" s="89" t="str">
        <f t="shared" si="31"/>
        <v>52</v>
      </c>
      <c r="BL12" s="1" t="str">
        <f>DEC2HEX(_xlfn.BITXOR(_xlfn.BITXOR(_xlfn.BITXOR(HEX2DEC(BK36),HEX2DEC(BL36)),HEX2DEC(BM36)),HEX2DEC(BN36)))</f>
        <v>66</v>
      </c>
    </row>
    <row r="13" spans="1:67" ht="15.75" thickBot="1" x14ac:dyDescent="0.3">
      <c r="B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1:67" x14ac:dyDescent="0.25">
      <c r="B14" s="8"/>
      <c r="D14" s="8"/>
      <c r="E14" s="8"/>
      <c r="F14" s="8"/>
      <c r="G14" s="8"/>
      <c r="H14" s="105"/>
      <c r="I14" s="106"/>
      <c r="J14" s="106"/>
      <c r="K14" s="106"/>
      <c r="L14" s="106"/>
      <c r="M14" s="106"/>
      <c r="N14" s="106"/>
      <c r="O14" s="106"/>
      <c r="P14" s="106"/>
      <c r="Q14" s="107"/>
      <c r="R14" s="8"/>
      <c r="T14" s="8"/>
      <c r="U14" s="8"/>
      <c r="V14" s="105"/>
      <c r="W14" s="106"/>
      <c r="X14" s="106"/>
      <c r="Y14" s="106"/>
      <c r="Z14" s="106"/>
      <c r="AA14" s="106"/>
      <c r="AB14" s="106"/>
      <c r="AC14" s="106"/>
      <c r="AD14" s="106"/>
      <c r="AE14" s="107"/>
    </row>
    <row r="15" spans="1:67" x14ac:dyDescent="0.25">
      <c r="A15" s="9" t="str">
        <f>AE10</f>
        <v>C4</v>
      </c>
      <c r="B15" s="1" t="s">
        <v>61</v>
      </c>
      <c r="C15" s="8" t="s">
        <v>91</v>
      </c>
      <c r="E15" s="8" t="str">
        <f>H9</f>
        <v>19</v>
      </c>
      <c r="G15" s="1">
        <v>4</v>
      </c>
      <c r="H15" s="82" t="str">
        <f t="shared" si="2"/>
        <v>1</v>
      </c>
      <c r="I15" s="73"/>
      <c r="J15" s="11" t="str">
        <f>K9</f>
        <v>52</v>
      </c>
      <c r="K15" s="83" t="str">
        <f>DEC2HEX(_xlfn.BITXOR(HEX2DEC(H15),HEX2DEC(J15)))</f>
        <v>53</v>
      </c>
      <c r="L15" s="73"/>
      <c r="M15" s="73" t="str">
        <f>N9</f>
        <v>49</v>
      </c>
      <c r="N15" s="83" t="str">
        <f>DEC2HEX(_xlfn.BITXOR(HEX2DEC(K15),HEX2DEC(M15)))</f>
        <v>1A</v>
      </c>
      <c r="O15" s="73"/>
      <c r="P15" s="73" t="str">
        <f>Q9</f>
        <v>BA</v>
      </c>
      <c r="Q15" s="84" t="str">
        <f>DEC2HEX(_xlfn.BITXOR(HEX2DEC(N15),HEX2DEC(P15)))</f>
        <v>A0</v>
      </c>
      <c r="R15" s="1" t="s">
        <v>61</v>
      </c>
      <c r="S15" s="8" t="s">
        <v>114</v>
      </c>
      <c r="U15" s="1" t="str">
        <f>V9</f>
        <v>8B</v>
      </c>
      <c r="V15" s="82" t="str">
        <f t="shared" si="10"/>
        <v>6B</v>
      </c>
      <c r="W15" s="73"/>
      <c r="X15" s="73" t="str">
        <f>Y9</f>
        <v>AC</v>
      </c>
      <c r="Y15" s="83" t="str">
        <f>DEC2HEX(_xlfn.BITXOR(HEX2DEC(V15),HEX2DEC(X15)))</f>
        <v>C7</v>
      </c>
      <c r="Z15" s="73"/>
      <c r="AA15" s="73" t="str">
        <f>AB9</f>
        <v>32</v>
      </c>
      <c r="AB15" s="83" t="str">
        <f>DEC2HEX(_xlfn.BITXOR(HEX2DEC(Y15),HEX2DEC(AA15)))</f>
        <v>F5</v>
      </c>
      <c r="AC15" s="73"/>
      <c r="AD15" s="73" t="str">
        <f>AE9</f>
        <v>F1</v>
      </c>
      <c r="AE15" s="84" t="str">
        <f>DEC2HEX(_xlfn.BITXOR(HEX2DEC(AB15),HEX2DEC(AD15)))</f>
        <v>4</v>
      </c>
    </row>
    <row r="16" spans="1:67" x14ac:dyDescent="0.25">
      <c r="A16" s="9" t="str">
        <f t="shared" ref="A16:A17" si="32">AE11</f>
        <v>7E</v>
      </c>
      <c r="B16" s="1" t="s">
        <v>61</v>
      </c>
      <c r="C16" s="8" t="s">
        <v>150</v>
      </c>
      <c r="D16" s="1" t="s">
        <v>62</v>
      </c>
      <c r="E16" s="8" t="str">
        <f t="shared" ref="E16:E42" si="33">H10</f>
        <v>B6</v>
      </c>
      <c r="F16" s="1" t="s">
        <v>62</v>
      </c>
      <c r="H16" s="82" t="str">
        <f t="shared" si="2"/>
        <v>45</v>
      </c>
      <c r="I16" s="73" t="s">
        <v>62</v>
      </c>
      <c r="J16" s="11" t="str">
        <f t="shared" ref="J16:J42" si="34">K10</f>
        <v>79</v>
      </c>
      <c r="K16" s="83" t="str">
        <f t="shared" ref="K16:K18" si="35">DEC2HEX(_xlfn.BITXOR(HEX2DEC(H16),HEX2DEC(J16)))</f>
        <v>3C</v>
      </c>
      <c r="L16" s="73" t="s">
        <v>62</v>
      </c>
      <c r="M16" s="73" t="str">
        <f t="shared" ref="M16:M42" si="36">N10</f>
        <v>A8</v>
      </c>
      <c r="N16" s="83" t="str">
        <f t="shared" ref="N16:N42" si="37">DEC2HEX(_xlfn.BITXOR(HEX2DEC(K16),HEX2DEC(M16)))</f>
        <v>94</v>
      </c>
      <c r="O16" s="73" t="s">
        <v>62</v>
      </c>
      <c r="P16" s="73" t="str">
        <f t="shared" ref="P16:P42" si="38">Q10</f>
        <v>BC</v>
      </c>
      <c r="Q16" s="84" t="str">
        <f t="shared" ref="Q16:Q42" si="39">DEC2HEX(_xlfn.BITXOR(HEX2DEC(N16),HEX2DEC(P16)))</f>
        <v>28</v>
      </c>
      <c r="R16" s="1" t="s">
        <v>61</v>
      </c>
      <c r="S16" s="8">
        <v>34</v>
      </c>
      <c r="T16" s="1" t="s">
        <v>62</v>
      </c>
      <c r="U16" s="1" t="str">
        <f t="shared" ref="U16:U36" si="40">V10</f>
        <v>B3</v>
      </c>
      <c r="V16" s="82" t="str">
        <f t="shared" si="10"/>
        <v>87</v>
      </c>
      <c r="W16" s="73" t="s">
        <v>62</v>
      </c>
      <c r="X16" s="73" t="str">
        <f t="shared" ref="X16:X36" si="41">Y10</f>
        <v>E6</v>
      </c>
      <c r="Y16" s="83" t="str">
        <f t="shared" ref="Y16:Y36" si="42">DEC2HEX(_xlfn.BITXOR(HEX2DEC(V16),HEX2DEC(X16)))</f>
        <v>61</v>
      </c>
      <c r="Z16" s="73" t="s">
        <v>62</v>
      </c>
      <c r="AA16" s="73" t="str">
        <f t="shared" ref="AA16:AA36" si="43">AB10</f>
        <v>14</v>
      </c>
      <c r="AB16" s="83" t="str">
        <f t="shared" ref="AB16:AB36" si="44">DEC2HEX(_xlfn.BITXOR(HEX2DEC(Y16),HEX2DEC(AA16)))</f>
        <v>75</v>
      </c>
      <c r="AC16" s="73" t="s">
        <v>62</v>
      </c>
      <c r="AD16" s="73" t="str">
        <f t="shared" ref="AD16:AD36" si="45">AE10</f>
        <v>C4</v>
      </c>
      <c r="AE16" s="84" t="str">
        <f t="shared" ref="AE16:AE36" si="46">DEC2HEX(_xlfn.BITXOR(HEX2DEC(AB16),HEX2DEC(AD16)))</f>
        <v>B1</v>
      </c>
    </row>
    <row r="17" spans="1:78" x14ac:dyDescent="0.25">
      <c r="A17" s="9" t="str">
        <f t="shared" si="32"/>
        <v>52</v>
      </c>
      <c r="B17" s="1" t="s">
        <v>61</v>
      </c>
      <c r="C17" s="8">
        <v>0</v>
      </c>
      <c r="E17" s="8" t="str">
        <f t="shared" si="33"/>
        <v>B3</v>
      </c>
      <c r="H17" s="82" t="str">
        <f t="shared" si="2"/>
        <v>B3</v>
      </c>
      <c r="I17" s="73"/>
      <c r="J17" s="11" t="str">
        <f t="shared" si="34"/>
        <v>21</v>
      </c>
      <c r="K17" s="83" t="str">
        <f t="shared" si="35"/>
        <v>92</v>
      </c>
      <c r="L17" s="73"/>
      <c r="M17" s="73" t="str">
        <f t="shared" si="36"/>
        <v>93</v>
      </c>
      <c r="N17" s="83" t="str">
        <f t="shared" si="37"/>
        <v>1</v>
      </c>
      <c r="O17" s="73"/>
      <c r="P17" s="73" t="str">
        <f t="shared" si="38"/>
        <v>AC</v>
      </c>
      <c r="Q17" s="84" t="str">
        <f t="shared" si="39"/>
        <v>AD</v>
      </c>
      <c r="R17" s="1" t="s">
        <v>61</v>
      </c>
      <c r="S17" s="8">
        <v>95</v>
      </c>
      <c r="U17" s="1" t="str">
        <f t="shared" si="40"/>
        <v>A7</v>
      </c>
      <c r="V17" s="82" t="str">
        <f t="shared" si="10"/>
        <v>32</v>
      </c>
      <c r="W17" s="73"/>
      <c r="X17" s="73" t="str">
        <f t="shared" si="41"/>
        <v>7C</v>
      </c>
      <c r="Y17" s="83" t="str">
        <f t="shared" si="42"/>
        <v>4E</v>
      </c>
      <c r="Z17" s="73"/>
      <c r="AA17" s="73" t="str">
        <f t="shared" si="43"/>
        <v>80</v>
      </c>
      <c r="AB17" s="83" t="str">
        <f t="shared" si="44"/>
        <v>CE</v>
      </c>
      <c r="AC17" s="73"/>
      <c r="AD17" s="73" t="str">
        <f t="shared" si="45"/>
        <v>7E</v>
      </c>
      <c r="AE17" s="84" t="str">
        <f t="shared" si="46"/>
        <v>B0</v>
      </c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75">
        <f>IF(BIN2DEC(LEFT(HEX2BIN(BB24,8),1))=0,0,1)</f>
        <v>1</v>
      </c>
      <c r="BC17" s="75">
        <f>IF(BIN2DEC(LEFT(HEX2BIN(BC24,8),1))=0,0,1)</f>
        <v>1</v>
      </c>
      <c r="BD17" s="75">
        <f>IF(BIN2DEC(LEFT(HEX2BIN(BD24,8),1))=0,0,1)</f>
        <v>1</v>
      </c>
      <c r="BE17" s="75">
        <f>IF(BIN2DEC(LEFT(HEX2BIN(BE24,8),1))=0,0,1)</f>
        <v>0</v>
      </c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8"/>
      <c r="BR17" s="48"/>
      <c r="BS17" s="48"/>
      <c r="BT17" s="48"/>
      <c r="BU17" s="48"/>
      <c r="BV17" s="48"/>
    </row>
    <row r="18" spans="1:78" ht="15.75" thickBot="1" x14ac:dyDescent="0.3">
      <c r="A18" s="9" t="str">
        <f>AE9</f>
        <v>F1</v>
      </c>
      <c r="B18" s="1" t="s">
        <v>61</v>
      </c>
      <c r="C18" s="8" t="s">
        <v>78</v>
      </c>
      <c r="E18" s="8" t="str">
        <f t="shared" si="33"/>
        <v>61</v>
      </c>
      <c r="H18" s="85" t="str">
        <f t="shared" si="2"/>
        <v>C0</v>
      </c>
      <c r="I18" s="86"/>
      <c r="J18" s="87" t="str">
        <f t="shared" si="34"/>
        <v>72</v>
      </c>
      <c r="K18" s="88" t="str">
        <f t="shared" si="35"/>
        <v>B2</v>
      </c>
      <c r="L18" s="86"/>
      <c r="M18" s="86" t="str">
        <f t="shared" si="36"/>
        <v>CB</v>
      </c>
      <c r="N18" s="88" t="str">
        <f t="shared" si="37"/>
        <v>79</v>
      </c>
      <c r="O18" s="86"/>
      <c r="P18" s="86" t="str">
        <f t="shared" si="38"/>
        <v>20</v>
      </c>
      <c r="Q18" s="89" t="str">
        <f t="shared" si="39"/>
        <v>59</v>
      </c>
      <c r="R18" s="1" t="s">
        <v>61</v>
      </c>
      <c r="S18" s="8" t="s">
        <v>147</v>
      </c>
      <c r="U18" s="1" t="str">
        <f t="shared" si="40"/>
        <v>2A</v>
      </c>
      <c r="V18" s="85" t="str">
        <f t="shared" si="10"/>
        <v>E1</v>
      </c>
      <c r="W18" s="86"/>
      <c r="X18" s="86" t="str">
        <f t="shared" si="41"/>
        <v>3A</v>
      </c>
      <c r="Y18" s="88" t="str">
        <f t="shared" si="42"/>
        <v>DB</v>
      </c>
      <c r="Z18" s="86"/>
      <c r="AA18" s="86" t="str">
        <f t="shared" si="43"/>
        <v>EF</v>
      </c>
      <c r="AB18" s="88" t="str">
        <f t="shared" si="44"/>
        <v>34</v>
      </c>
      <c r="AC18" s="86"/>
      <c r="AD18" s="86" t="str">
        <f t="shared" si="45"/>
        <v>52</v>
      </c>
      <c r="AE18" s="89" t="str">
        <f t="shared" si="46"/>
        <v>66</v>
      </c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75">
        <f t="shared" ref="BB18:BC20" si="47">IF(BIN2DEC(LEFT(HEX2BIN(BB25,8),1))=0,0,1)</f>
        <v>0</v>
      </c>
      <c r="BC18" s="75">
        <f t="shared" si="47"/>
        <v>0</v>
      </c>
      <c r="BD18" s="75">
        <f t="shared" ref="BD18:BE18" si="48">IF(BIN2DEC(LEFT(HEX2BIN(BD25,8),1))=0,0,1)</f>
        <v>1</v>
      </c>
      <c r="BE18" s="75">
        <f t="shared" si="48"/>
        <v>1</v>
      </c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Z18" s="11">
        <v>10101000</v>
      </c>
    </row>
    <row r="19" spans="1:78" ht="15.75" thickBot="1" x14ac:dyDescent="0.3">
      <c r="B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75">
        <f t="shared" si="47"/>
        <v>1</v>
      </c>
      <c r="BC19" s="75">
        <f t="shared" si="47"/>
        <v>0</v>
      </c>
      <c r="BD19" s="75">
        <f t="shared" ref="BD19:BE19" si="49">IF(BIN2DEC(LEFT(HEX2BIN(BD26,8),1))=0,0,1)</f>
        <v>0</v>
      </c>
      <c r="BE19" s="75">
        <f t="shared" si="49"/>
        <v>0</v>
      </c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8"/>
      <c r="BR19" s="48"/>
      <c r="BS19" s="48"/>
      <c r="BT19" s="48"/>
      <c r="BU19" s="48"/>
      <c r="BV19" s="48"/>
    </row>
    <row r="20" spans="1:78" x14ac:dyDescent="0.25">
      <c r="B20" s="8"/>
      <c r="D20" s="8"/>
      <c r="E20" s="8"/>
      <c r="F20" s="8"/>
      <c r="G20" s="8"/>
      <c r="H20" s="105"/>
      <c r="I20" s="106"/>
      <c r="J20" s="106"/>
      <c r="K20" s="106"/>
      <c r="L20" s="106"/>
      <c r="M20" s="106"/>
      <c r="N20" s="106"/>
      <c r="O20" s="106"/>
      <c r="P20" s="106"/>
      <c r="Q20" s="107"/>
      <c r="R20" s="8"/>
      <c r="T20" s="8"/>
      <c r="U20" s="8"/>
      <c r="V20" s="105"/>
      <c r="W20" s="106"/>
      <c r="X20" s="106"/>
      <c r="Y20" s="106"/>
      <c r="Z20" s="106"/>
      <c r="AA20" s="106"/>
      <c r="AB20" s="106"/>
      <c r="AC20" s="106"/>
      <c r="AD20" s="106"/>
      <c r="AE20" s="107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75">
        <f t="shared" si="47"/>
        <v>1</v>
      </c>
      <c r="BC20" s="75">
        <f t="shared" si="47"/>
        <v>0</v>
      </c>
      <c r="BD20" s="75">
        <f t="shared" ref="BD20:BE20" si="50">IF(BIN2DEC(LEFT(HEX2BIN(BD27,8),1))=0,0,1)</f>
        <v>0</v>
      </c>
      <c r="BE20" s="75">
        <f t="shared" si="50"/>
        <v>0</v>
      </c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</row>
    <row r="21" spans="1:78" x14ac:dyDescent="0.25">
      <c r="A21" s="9" t="str">
        <f>AE16</f>
        <v>B1</v>
      </c>
      <c r="C21" s="8" t="s">
        <v>67</v>
      </c>
      <c r="E21" s="8" t="str">
        <f t="shared" si="33"/>
        <v>1</v>
      </c>
      <c r="G21" s="1">
        <v>8</v>
      </c>
      <c r="H21" s="82" t="str">
        <f t="shared" si="2"/>
        <v>C1</v>
      </c>
      <c r="I21" s="73"/>
      <c r="J21" s="11" t="str">
        <f t="shared" si="34"/>
        <v>53</v>
      </c>
      <c r="K21" s="83" t="str">
        <f t="shared" ref="K21:K42" si="51">DEC2HEX(_xlfn.BITXOR(HEX2DEC(H21),HEX2DEC(J21)))</f>
        <v>92</v>
      </c>
      <c r="L21" s="73"/>
      <c r="M21" s="73" t="str">
        <f t="shared" si="36"/>
        <v>1A</v>
      </c>
      <c r="N21" s="83" t="str">
        <f t="shared" si="37"/>
        <v>88</v>
      </c>
      <c r="O21" s="73"/>
      <c r="P21" s="73" t="str">
        <f t="shared" si="38"/>
        <v>A0</v>
      </c>
      <c r="Q21" s="84" t="str">
        <f t="shared" si="39"/>
        <v>28</v>
      </c>
      <c r="S21" s="8">
        <v>34</v>
      </c>
      <c r="U21" s="1" t="str">
        <f t="shared" si="40"/>
        <v>6B</v>
      </c>
      <c r="V21" s="82" t="str">
        <f t="shared" si="10"/>
        <v>5F</v>
      </c>
      <c r="W21" s="73"/>
      <c r="X21" s="73" t="str">
        <f t="shared" si="41"/>
        <v>C7</v>
      </c>
      <c r="Y21" s="83" t="str">
        <f t="shared" si="42"/>
        <v>98</v>
      </c>
      <c r="Z21" s="73"/>
      <c r="AA21" s="73" t="str">
        <f t="shared" si="43"/>
        <v>F5</v>
      </c>
      <c r="AB21" s="83" t="str">
        <f t="shared" si="44"/>
        <v>6D</v>
      </c>
      <c r="AC21" s="73"/>
      <c r="AD21" s="73" t="str">
        <f t="shared" si="45"/>
        <v>4</v>
      </c>
      <c r="AE21" s="84" t="str">
        <f t="shared" si="46"/>
        <v>69</v>
      </c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9"/>
      <c r="BC21" s="49"/>
      <c r="BD21" s="49"/>
      <c r="BE21" s="49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</row>
    <row r="22" spans="1:78" x14ac:dyDescent="0.25">
      <c r="A22" s="9" t="str">
        <f t="shared" ref="A22:A23" si="52">AE17</f>
        <v>B0</v>
      </c>
      <c r="C22" s="8" t="s">
        <v>152</v>
      </c>
      <c r="E22" s="8" t="str">
        <f t="shared" si="33"/>
        <v>45</v>
      </c>
      <c r="H22" s="82" t="str">
        <f t="shared" si="2"/>
        <v>A2</v>
      </c>
      <c r="I22" s="73"/>
      <c r="J22" s="11" t="str">
        <f t="shared" si="34"/>
        <v>3C</v>
      </c>
      <c r="K22" s="83" t="str">
        <f t="shared" si="51"/>
        <v>9E</v>
      </c>
      <c r="L22" s="73"/>
      <c r="M22" s="73" t="str">
        <f t="shared" si="36"/>
        <v>94</v>
      </c>
      <c r="N22" s="83" t="str">
        <f t="shared" si="37"/>
        <v>A</v>
      </c>
      <c r="O22" s="73"/>
      <c r="P22" s="73" t="str">
        <f t="shared" si="38"/>
        <v>28</v>
      </c>
      <c r="Q22" s="84" t="str">
        <f t="shared" si="39"/>
        <v>22</v>
      </c>
      <c r="S22" s="8">
        <v>93</v>
      </c>
      <c r="U22" s="1" t="str">
        <f t="shared" si="40"/>
        <v>87</v>
      </c>
      <c r="V22" s="82" t="str">
        <f t="shared" si="10"/>
        <v>14</v>
      </c>
      <c r="W22" s="73"/>
      <c r="X22" s="73" t="str">
        <f t="shared" si="41"/>
        <v>61</v>
      </c>
      <c r="Y22" s="83" t="str">
        <f t="shared" si="42"/>
        <v>75</v>
      </c>
      <c r="Z22" s="73"/>
      <c r="AA22" s="73" t="str">
        <f t="shared" si="43"/>
        <v>75</v>
      </c>
      <c r="AB22" s="83" t="str">
        <f t="shared" si="44"/>
        <v>0</v>
      </c>
      <c r="AC22" s="73"/>
      <c r="AD22" s="73" t="str">
        <f t="shared" si="45"/>
        <v>B1</v>
      </c>
      <c r="AE22" s="84" t="str">
        <f t="shared" si="46"/>
        <v>B1</v>
      </c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119" t="s">
        <v>243</v>
      </c>
      <c r="AS22" s="119"/>
      <c r="AT22" s="119"/>
      <c r="AU22" s="119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</row>
    <row r="23" spans="1:78" x14ac:dyDescent="0.25">
      <c r="A23" s="9" t="str">
        <f t="shared" si="52"/>
        <v>66</v>
      </c>
      <c r="C23" s="8">
        <v>33</v>
      </c>
      <c r="E23" s="8" t="str">
        <f t="shared" si="33"/>
        <v>B3</v>
      </c>
      <c r="H23" s="82" t="str">
        <f t="shared" si="2"/>
        <v>80</v>
      </c>
      <c r="I23" s="73"/>
      <c r="J23" s="11" t="str">
        <f t="shared" si="34"/>
        <v>92</v>
      </c>
      <c r="K23" s="83" t="str">
        <f t="shared" si="51"/>
        <v>12</v>
      </c>
      <c r="L23" s="73"/>
      <c r="M23" s="73" t="str">
        <f t="shared" si="36"/>
        <v>1</v>
      </c>
      <c r="N23" s="83" t="str">
        <f t="shared" si="37"/>
        <v>13</v>
      </c>
      <c r="O23" s="73"/>
      <c r="P23" s="73" t="str">
        <f t="shared" si="38"/>
        <v>AD</v>
      </c>
      <c r="Q23" s="84" t="str">
        <f t="shared" si="39"/>
        <v>BE</v>
      </c>
      <c r="S23" s="8" t="s">
        <v>84</v>
      </c>
      <c r="U23" s="1" t="str">
        <f t="shared" si="40"/>
        <v>32</v>
      </c>
      <c r="V23" s="82" t="str">
        <f t="shared" si="10"/>
        <v>9C</v>
      </c>
      <c r="W23" s="73"/>
      <c r="X23" s="73" t="str">
        <f t="shared" si="41"/>
        <v>4E</v>
      </c>
      <c r="Y23" s="83" t="str">
        <f t="shared" si="42"/>
        <v>D2</v>
      </c>
      <c r="Z23" s="73"/>
      <c r="AA23" s="73" t="str">
        <f t="shared" si="43"/>
        <v>CE</v>
      </c>
      <c r="AB23" s="83" t="str">
        <f t="shared" si="44"/>
        <v>1C</v>
      </c>
      <c r="AC23" s="73"/>
      <c r="AD23" s="73" t="str">
        <f t="shared" si="45"/>
        <v>B0</v>
      </c>
      <c r="AE23" s="84" t="str">
        <f t="shared" si="46"/>
        <v>AC</v>
      </c>
      <c r="AH23" s="119" t="s">
        <v>240</v>
      </c>
      <c r="AI23" s="119"/>
      <c r="AJ23" s="119"/>
      <c r="AK23" s="119"/>
      <c r="AL23" s="48"/>
      <c r="AM23" s="48"/>
      <c r="AN23" s="48"/>
      <c r="AO23" s="48"/>
      <c r="AP23" s="48"/>
      <c r="AQ23" s="48"/>
      <c r="AR23" s="119" t="s">
        <v>210</v>
      </c>
      <c r="AS23" s="119"/>
      <c r="AT23" s="119"/>
      <c r="AU23" s="119"/>
      <c r="AV23" s="48"/>
      <c r="AW23" s="119" t="s">
        <v>211</v>
      </c>
      <c r="AX23" s="119"/>
      <c r="AY23" s="119"/>
      <c r="AZ23" s="119"/>
      <c r="BA23" s="48"/>
      <c r="BB23" s="119" t="s">
        <v>212</v>
      </c>
      <c r="BC23" s="119"/>
      <c r="BD23" s="119"/>
      <c r="BE23" s="119"/>
      <c r="BF23" s="48"/>
      <c r="BG23" s="48"/>
      <c r="BH23" s="48"/>
      <c r="BI23" s="48"/>
      <c r="BJ23" s="48"/>
      <c r="BK23" s="48"/>
      <c r="BL23" s="119" t="s">
        <v>214</v>
      </c>
      <c r="BM23" s="119"/>
      <c r="BN23" s="119"/>
      <c r="BO23" s="119"/>
      <c r="BP23" s="48"/>
      <c r="BQ23" s="48"/>
      <c r="BR23" s="48"/>
      <c r="BS23" s="48"/>
      <c r="BT23" s="48"/>
      <c r="BU23" s="48"/>
      <c r="BV23" s="48"/>
    </row>
    <row r="24" spans="1:78" ht="15.75" thickBot="1" x14ac:dyDescent="0.3">
      <c r="A24" s="9" t="str">
        <f>AE15</f>
        <v>4</v>
      </c>
      <c r="C24" s="8" t="s">
        <v>175</v>
      </c>
      <c r="E24" s="8" t="str">
        <f t="shared" si="33"/>
        <v>C0</v>
      </c>
      <c r="H24" s="85" t="str">
        <f t="shared" si="2"/>
        <v>32</v>
      </c>
      <c r="I24" s="86"/>
      <c r="J24" s="87" t="str">
        <f t="shared" si="34"/>
        <v>B2</v>
      </c>
      <c r="K24" s="88" t="str">
        <f t="shared" si="51"/>
        <v>80</v>
      </c>
      <c r="L24" s="86"/>
      <c r="M24" s="86" t="str">
        <f t="shared" si="36"/>
        <v>79</v>
      </c>
      <c r="N24" s="88" t="str">
        <f t="shared" si="37"/>
        <v>F9</v>
      </c>
      <c r="O24" s="86"/>
      <c r="P24" s="86" t="str">
        <f t="shared" si="38"/>
        <v>59</v>
      </c>
      <c r="Q24" s="89" t="str">
        <f t="shared" si="39"/>
        <v>A0</v>
      </c>
      <c r="S24" s="8" t="s">
        <v>114</v>
      </c>
      <c r="U24" s="1" t="str">
        <f t="shared" si="40"/>
        <v>E1</v>
      </c>
      <c r="V24" s="85" t="str">
        <f t="shared" si="10"/>
        <v>1</v>
      </c>
      <c r="W24" s="86"/>
      <c r="X24" s="86" t="str">
        <f t="shared" si="41"/>
        <v>DB</v>
      </c>
      <c r="Y24" s="88" t="str">
        <f t="shared" si="42"/>
        <v>DA</v>
      </c>
      <c r="Z24" s="86"/>
      <c r="AA24" s="86" t="str">
        <f t="shared" si="43"/>
        <v>34</v>
      </c>
      <c r="AB24" s="88" t="str">
        <f t="shared" si="44"/>
        <v>EE</v>
      </c>
      <c r="AC24" s="86"/>
      <c r="AD24" s="86" t="str">
        <f t="shared" si="45"/>
        <v>66</v>
      </c>
      <c r="AE24" s="89" t="str">
        <f t="shared" si="46"/>
        <v>88</v>
      </c>
      <c r="AH24" s="63" t="str">
        <f>AG3</f>
        <v>F9</v>
      </c>
      <c r="AI24" s="63">
        <f t="shared" ref="AI24:AK24" si="53">AH3</f>
        <v>20</v>
      </c>
      <c r="AJ24" s="63">
        <f t="shared" si="53"/>
        <v>50</v>
      </c>
      <c r="AK24" s="63" t="str">
        <f t="shared" si="53"/>
        <v>E8</v>
      </c>
      <c r="AL24" s="48"/>
      <c r="AM24" s="47">
        <v>31</v>
      </c>
      <c r="AN24" s="47">
        <v>31</v>
      </c>
      <c r="AO24" s="47">
        <v>31</v>
      </c>
      <c r="AP24" s="47">
        <v>31</v>
      </c>
      <c r="AQ24" s="48"/>
      <c r="AR24" s="65" t="str">
        <f>DEC2HEX(_xlfn.BITXOR(HEX2DEC(AH24),HEX2DEC(AM24)))</f>
        <v>C8</v>
      </c>
      <c r="AS24" s="65" t="str">
        <f t="shared" ref="AS24:AU27" si="54">DEC2HEX(_xlfn.BITXOR(HEX2DEC(AI24),HEX2DEC(AN24)))</f>
        <v>11</v>
      </c>
      <c r="AT24" s="65" t="str">
        <f t="shared" si="54"/>
        <v>61</v>
      </c>
      <c r="AU24" s="65" t="str">
        <f t="shared" si="54"/>
        <v>D9</v>
      </c>
      <c r="AV24" s="48"/>
      <c r="AW24" s="48" t="s">
        <v>195</v>
      </c>
      <c r="AX24" s="48">
        <v>82</v>
      </c>
      <c r="AY24" s="48" t="s">
        <v>142</v>
      </c>
      <c r="AZ24" s="48">
        <v>35</v>
      </c>
      <c r="BA24" s="48"/>
      <c r="BB24" s="49" t="str">
        <f>AW24</f>
        <v>E8</v>
      </c>
      <c r="BC24" s="49">
        <f t="shared" ref="BC24" si="55">AX24</f>
        <v>82</v>
      </c>
      <c r="BD24" s="49" t="str">
        <f t="shared" ref="BD24" si="56">AY24</f>
        <v>EF</v>
      </c>
      <c r="BE24" s="50">
        <f t="shared" ref="BE24" si="57">AZ24</f>
        <v>35</v>
      </c>
      <c r="BF24" s="48" t="s">
        <v>213</v>
      </c>
      <c r="BG24" s="51">
        <v>2</v>
      </c>
      <c r="BH24" s="51">
        <v>3</v>
      </c>
      <c r="BI24" s="51">
        <v>1</v>
      </c>
      <c r="BJ24" s="51">
        <v>1</v>
      </c>
      <c r="BK24" s="48"/>
      <c r="BL24" s="48" t="str">
        <f>DEC2HEX(_xlfn.BITXOR(_xlfn.BITXOR(_xlfn.BITXOR(HEX2DEC(IF(AND(BG24=3,BB17=0),DEC2HEX(_xlfn.BITXOR(BIN2DEC((RIGHT(HEX2BIN(BB24,8)&amp;LEFT(HEX2BIN($A$1,8),1),8))),HEX2DEC(BB24)),2),IF(AND(BG24=2,BB17=0),BIN2HEX(RIGHT(HEX2BIN(BB24,8)&amp;LEFT(HEX2BIN($A$1,8),1),8)),IF(AND(BG24=2,BB17=1),DEC2HEX(_xlfn.BITXOR(BIN2DEC(RIGHT(HEX2BIN(BB24,8)&amp;LEFT(HEX2BIN($A$1,8),1),8)),HEX2DEC($B$1))),IF(AND(BG24=3,BB17=1),DEC2HEX(_xlfn.BITXOR(_xlfn.BITXOR(BIN2DEC(RIGHT(HEX2BIN(BB24,8)&amp;LEFT(HEX2BIN($A$1,8),1),8)),HEX2DEC($B$1)),HEX2DEC(BB24))),BB24))))),HEX2DEC(IF(AND(BH24=3,BB18=0),DEC2HEX(_xlfn.BITXOR(BIN2DEC((RIGHT(HEX2BIN(BB25,8)&amp;LEFT(HEX2BIN($A$1,8),1),8))),HEX2DEC(BB25)),2),IF(AND(BH24=2,BB18=0),BIN2HEX(RIGHT(HEX2BIN(BB25,8)&amp;LEFT(HEX2BIN($A$1,8),1),8)),IF(AND(BH24=2,BB18=1),DEC2HEX(_xlfn.BITXOR(BIN2DEC(RIGHT(HEX2BIN(BB25,8)&amp;LEFT(HEX2BIN($A$1,8),1),8)),HEX2DEC($B$1))),IF(AND(BH24=3,BB18=1),DEC2HEX(_xlfn.BITXOR(_xlfn.BITXOR(BIN2DEC(RIGHT(HEX2BIN(BB25,8)&amp;LEFT(HEX2BIN($A$1,8),1),8)),HEX2DEC($B$1)),HEX2DEC(BB25))),BB25)))))),HEX2DEC(IF(AND(BI24=3,BB19=0),DEC2HEX(_xlfn.BITXOR(BIN2DEC((RIGHT(HEX2BIN(BB26,8)&amp;LEFT(HEX2BIN($A$1,8),1),8))),HEX2DEC(BB26)),2),IF(AND(BI24=2,BB19=0),BIN2HEX(RIGHT(HEX2BIN(BB26,8)&amp;LEFT(HEX2BIN($A$1,8),1),8)),IF(AND(BI24=2,BB19=1),DEC2HEX(_xlfn.BITXOR(BIN2DEC(RIGHT(HEX2BIN(BB26,8)&amp;LEFT(HEX2BIN($A$1,8),1),8)),HEX2DEC($B$1))),IF(AND(BI24=3,BB19=1),DEC2HEX(_xlfn.BITXOR(_xlfn.BITXOR(BIN2DEC(RIGHT(HEX2BIN(BB26,8)&amp;LEFT(HEX2BIN($A$1,8),1),8)),HEX2DEC($B$1)),HEX2DEC(BB26))),BB26)))))),HEX2DEC(IF(AND(BJ24=3,BB20=0),DEC2HEX(_xlfn.BITXOR(BIN2DEC((RIGHT(HEX2BIN(BB27,8)&amp;LEFT(HEX2BIN($A$1,8),1),8))),HEX2DEC(BB27)),2),IF(AND(BJ24=2,BB20=0),BIN2HEX(RIGHT(HEX2BIN(BB27,8)&amp;LEFT(HEX2BIN($A$1,8),1),8)),IF(AND(BJ24=2,BB20=1),DEC2HEX(_xlfn.BITXOR(BIN2DEC(RIGHT(HEX2BIN(BB27,8)&amp;LEFT(HEX2BIN($A$1,8),1),8)),HEX2DEC($B$1))),IF(AND(BJ24=3,BB20=1),DEC2HEX(_xlfn.BITXOR(_xlfn.BITXOR(BIN2DEC(RIGHT(HEX2BIN(BB27,8)&amp;LEFT(HEX2BIN($A$1,8),1),8)),HEX2DEC($B$1)),HEX2DEC(BB27))),BB27)))))))</f>
        <v>B3</v>
      </c>
      <c r="BM24" s="48" t="str">
        <f>DEC2HEX(_xlfn.BITXOR(_xlfn.BITXOR(_xlfn.BITXOR(HEX2DEC(IF(AND(BG24=3,BC17=0),DEC2HEX(_xlfn.BITXOR(BIN2DEC((RIGHT(HEX2BIN(BC24,8)&amp;LEFT(HEX2BIN($A$1,8),1),8))),HEX2DEC(BC24)),2),IF(AND(BG24=2,BC17=0),BIN2HEX(RIGHT(HEX2BIN(BC24,8)&amp;LEFT(HEX2BIN($A$1,8),1),8)),IF(AND(BG24=2,BC17=1),DEC2HEX(_xlfn.BITXOR(BIN2DEC(RIGHT(HEX2BIN(BC24,8)&amp;LEFT(HEX2BIN($A$1,8),1),8)),HEX2DEC($B$1))),IF(AND(BG24=3,BC17=1),DEC2HEX(_xlfn.BITXOR(_xlfn.BITXOR(BIN2DEC(RIGHT(HEX2BIN(BC24,8)&amp;LEFT(HEX2BIN($A$1,8),1),8)),HEX2DEC($B$1)),HEX2DEC(BC24))),BC24))))),HEX2DEC(IF(AND(BH24=3,BC18=0),DEC2HEX(_xlfn.BITXOR(BIN2DEC((RIGHT(HEX2BIN(BC25,8)&amp;LEFT(HEX2BIN($A$1,8),1),8))),HEX2DEC(BC25)),2),IF(AND(BH24=2,BC18=0),BIN2HEX(RIGHT(HEX2BIN(BC25,8)&amp;LEFT(HEX2BIN($A$1,8),1),8)),IF(AND(BH24=2,BC18=1),DEC2HEX(_xlfn.BITXOR(BIN2DEC(RIGHT(HEX2BIN(BC25,8)&amp;LEFT(HEX2BIN($A$1,8),1),8)),HEX2DEC($B$1))),IF(AND(BH24=3,BC18=1),DEC2HEX(_xlfn.BITXOR(_xlfn.BITXOR(BIN2DEC(RIGHT(HEX2BIN(BC25,8)&amp;LEFT(HEX2BIN($A$1,8),1),8)),HEX2DEC($B$1)),HEX2DEC(BC25))),BC25)))))),HEX2DEC(IF(AND(BI24=3,BC19=0),DEC2HEX(_xlfn.BITXOR(BIN2DEC((RIGHT(HEX2BIN(BC26,8)&amp;LEFT(HEX2BIN($A$1,8),1),8))),HEX2DEC(BC26)),2),IF(AND(BI24=2,BC19=0),BIN2HEX(RIGHT(HEX2BIN(BC26,8)&amp;LEFT(HEX2BIN($A$1,8),1),8)),IF(AND(BI24=2,BC19=1),DEC2HEX(_xlfn.BITXOR(BIN2DEC(RIGHT(HEX2BIN(BC26,8)&amp;LEFT(HEX2BIN($A$1,8),1),8)),HEX2DEC($B$1))),IF(AND(BI24=3,BC19=1),DEC2HEX(_xlfn.BITXOR(_xlfn.BITXOR(BIN2DEC(RIGHT(HEX2BIN(BC26,8)&amp;LEFT(HEX2BIN($A$1,8),1),8)),HEX2DEC($B$1)),HEX2DEC(BC26))),BC26)))))),HEX2DEC(IF(AND(BJ24=3,BC20=0),DEC2HEX(_xlfn.BITXOR(BIN2DEC((RIGHT(HEX2BIN(BC27,8)&amp;LEFT(HEX2BIN($A$1,8),1),8))),HEX2DEC(BC27)),2),IF(AND(BJ24=2,BC20=0),BIN2HEX(RIGHT(HEX2BIN(BC27,8)&amp;LEFT(HEX2BIN($A$1,8),1),8)),IF(AND(BJ24=2,BC20=1),DEC2HEX(_xlfn.BITXOR(BIN2DEC(RIGHT(HEX2BIN(BC27,8)&amp;LEFT(HEX2BIN($A$1,8),1),8)),HEX2DEC($B$1))),IF(AND(BJ24=3,BC20=1),DEC2HEX(_xlfn.BITXOR(_xlfn.BITXOR(BIN2DEC(RIGHT(HEX2BIN(BC27,8)&amp;LEFT(HEX2BIN($A$1,8),1),8)),HEX2DEC($B$1)),HEX2DEC(BC27))),BC27)))))))</f>
        <v>66</v>
      </c>
      <c r="BN24" s="51" t="str">
        <f>DEC2HEX(_xlfn.BITXOR(_xlfn.BITXOR(_xlfn.BITXOR(HEX2DEC(IF(AND(BG24=3,BD17=0),DEC2HEX(_xlfn.BITXOR(BIN2DEC((RIGHT(HEX2BIN(BD24,8)&amp;LEFT(HEX2BIN($A$1,8),1),8))),HEX2DEC(BD24)),2),IF(AND(BG24=2,BD17=0),BIN2HEX(RIGHT(HEX2BIN(BD24,8)&amp;LEFT(HEX2BIN($A$1,8),1),8)),IF(AND(BG24=2,BD17=1),DEC2HEX(_xlfn.BITXOR(BIN2DEC(RIGHT(HEX2BIN(BD24,8)&amp;LEFT(HEX2BIN($A$1,8),1),8)),HEX2DEC($B$1))),IF(AND(BG24=3,BD17=1),DEC2HEX(_xlfn.BITXOR(_xlfn.BITXOR(BIN2DEC(RIGHT(HEX2BIN(BD24,8)&amp;LEFT(HEX2BIN($A$1,8),1),8)),HEX2DEC($B$1)),HEX2DEC(BD24))),BD24))))),HEX2DEC(IF(AND(BH24=3,BD18=0),DEC2HEX(_xlfn.BITXOR(BIN2DEC((RIGHT(HEX2BIN(BD25,8)&amp;LEFT(HEX2BIN($A$1,8),1),8))),HEX2DEC(BD25)),2),IF(AND(BH24=2,BD18=0),BIN2HEX(RIGHT(HEX2BIN(BD25,8)&amp;LEFT(HEX2BIN($A$1,8),1),8)),IF(AND(BH24=2,BD18=1),DEC2HEX(_xlfn.BITXOR(BIN2DEC(RIGHT(HEX2BIN(BD25,8)&amp;LEFT(HEX2BIN($A$1,8),1),8)),HEX2DEC($B$1))),IF(AND(BH24=3,BD18=1),DEC2HEX(_xlfn.BITXOR(_xlfn.BITXOR(BIN2DEC(RIGHT(HEX2BIN(BD25,8)&amp;LEFT(HEX2BIN($A$1,8),1),8)),HEX2DEC($B$1)),HEX2DEC(BD25))),BD25)))))),HEX2DEC(IF(AND(BI24=3,BD19=0),DEC2HEX(_xlfn.BITXOR(BIN2DEC((RIGHT(HEX2BIN(BD26,8)&amp;LEFT(HEX2BIN($A$1,8),1),8))),HEX2DEC(BD26)),2),IF(AND(BI24=2,BD19=0),BIN2HEX(RIGHT(HEX2BIN(BD26,8)&amp;LEFT(HEX2BIN($A$1,8),1),8)),IF(AND(BI24=2,BD19=1),DEC2HEX(_xlfn.BITXOR(BIN2DEC(RIGHT(HEX2BIN(BD26,8)&amp;LEFT(HEX2BIN($A$1,8),1),8)),HEX2DEC($B$1))),IF(AND(BI24=3,BD19=1),DEC2HEX(_xlfn.BITXOR(_xlfn.BITXOR(BIN2DEC(RIGHT(HEX2BIN(BD26,8)&amp;LEFT(HEX2BIN($A$1,8),1),8)),HEX2DEC($B$1)),HEX2DEC(BD26))),BD26)))))),HEX2DEC(IF(AND(BJ24=3,BD20=0),DEC2HEX(_xlfn.BITXOR(BIN2DEC((RIGHT(HEX2BIN(BD27,8)&amp;LEFT(HEX2BIN($A$1,8),1),8))),HEX2DEC(BD27)),2),IF(AND(BJ24=2,BD20=0),BIN2HEX(RIGHT(HEX2BIN(BD27,8)&amp;LEFT(HEX2BIN($A$1,8),1),8)),IF(AND(BJ24=2,BD20=1),DEC2HEX(_xlfn.BITXOR(BIN2DEC(RIGHT(HEX2BIN(BD27,8)&amp;LEFT(HEX2BIN($A$1,8),1),8)),HEX2DEC($B$1))),IF(AND(BJ24=3,BD20=1),DEC2HEX(_xlfn.BITXOR(_xlfn.BITXOR(BIN2DEC(RIGHT(HEX2BIN(BD27,8)&amp;LEFT(HEX2BIN($A$1,8),1),8)),HEX2DEC($B$1)),HEX2DEC(BD27))),BD27)))))))</f>
        <v>59</v>
      </c>
      <c r="BO24" s="48" t="str">
        <f>DEC2HEX(_xlfn.BITXOR(_xlfn.BITXOR(_xlfn.BITXOR(HEX2DEC(IF(AND(BG24=3,BE17=0),DEC2HEX(_xlfn.BITXOR(BIN2DEC((RIGHT(HEX2BIN(BE24,8)&amp;LEFT(HEX2BIN($A$1,8),1),8))),HEX2DEC(BE24)),2),IF(AND(BG24=2,BE17=0),BIN2HEX(RIGHT(HEX2BIN(BE24,8)&amp;LEFT(HEX2BIN($A$1,8),1),8)),IF(AND(BG24=2,BE17=1),DEC2HEX(_xlfn.BITXOR(BIN2DEC(RIGHT(HEX2BIN(BE24,8)&amp;LEFT(HEX2BIN($A$1,8),1),8)),HEX2DEC($B$1))),IF(AND(BG24=3,BE17=1),DEC2HEX(_xlfn.BITXOR(_xlfn.BITXOR(BIN2DEC(RIGHT(HEX2BIN(BE24,8)&amp;LEFT(HEX2BIN($A$1,8),1),8)),HEX2DEC($B$1)),HEX2DEC(BE24))),BE24))))),HEX2DEC(IF(AND(BH24=3,BE18=0),DEC2HEX(_xlfn.BITXOR(BIN2DEC((RIGHT(HEX2BIN(BE25,8)&amp;LEFT(HEX2BIN($A$1,8),1),8))),HEX2DEC(BE25)),2),IF(AND(BH24=2,BE18=0),BIN2HEX(RIGHT(HEX2BIN(BE25,8)&amp;LEFT(HEX2BIN($A$1,8),1),8)),IF(AND(BH24=2,BE18=1),DEC2HEX(_xlfn.BITXOR(BIN2DEC(RIGHT(HEX2BIN(BE25,8)&amp;LEFT(HEX2BIN($A$1,8),1),8)),HEX2DEC($B$1))),IF(AND(BH24=3,BE18=1),DEC2HEX(_xlfn.BITXOR(_xlfn.BITXOR(BIN2DEC(RIGHT(HEX2BIN(BE25,8)&amp;LEFT(HEX2BIN($A$1,8),1),8)),HEX2DEC($B$1)),HEX2DEC(BE25))),BE25)))))),HEX2DEC(IF(AND(BI24=3,BE19=0),DEC2HEX(_xlfn.BITXOR(BIN2DEC((RIGHT(HEX2BIN(BE26,8)&amp;LEFT(HEX2BIN($A$1,8),1),8))),HEX2DEC(BE26)),2),IF(AND(BI24=2,BE19=0),BIN2HEX(RIGHT(HEX2BIN(BE26,8)&amp;LEFT(HEX2BIN($A$1,8),1),8)),IF(AND(BI24=2,BE19=1),DEC2HEX(_xlfn.BITXOR(BIN2DEC(RIGHT(HEX2BIN(BE26,8)&amp;LEFT(HEX2BIN($A$1,8),1),8)),HEX2DEC($B$1))),IF(AND(BI24=3,BE19=1),DEC2HEX(_xlfn.BITXOR(_xlfn.BITXOR(BIN2DEC(RIGHT(HEX2BIN(BE26,8)&amp;LEFT(HEX2BIN($A$1,8),1),8)),HEX2DEC($B$1)),HEX2DEC(BE26))),BE26)))))),HEX2DEC(IF(AND(BJ24=3,BE20=0),DEC2HEX(_xlfn.BITXOR(BIN2DEC((RIGHT(HEX2BIN(BE27,8)&amp;LEFT(HEX2BIN($A$1,8),1),8))),HEX2DEC(BE27)),2),IF(AND(BJ24=2,BE20=0),BIN2HEX(RIGHT(HEX2BIN(BE27,8)&amp;LEFT(HEX2BIN($A$1,8),1),8)),IF(AND(BJ24=2,BE20=1),DEC2HEX(_xlfn.BITXOR(BIN2DEC(RIGHT(HEX2BIN(BE27,8)&amp;LEFT(HEX2BIN($A$1,8),1),8)),HEX2DEC($B$1))),IF(AND(BJ24=3,BE20=1),DEC2HEX(_xlfn.BITXOR(_xlfn.BITXOR(BIN2DEC(RIGHT(HEX2BIN(BE27,8)&amp;LEFT(HEX2BIN($A$1,8),1),8)),HEX2DEC($B$1)),HEX2DEC(BE27))),BE27)))))))</f>
        <v>B2</v>
      </c>
      <c r="BP24" s="48"/>
      <c r="BQ24" s="48"/>
      <c r="BR24" s="48"/>
      <c r="BS24" s="48" t="s">
        <v>132</v>
      </c>
      <c r="BT24" s="48" t="s">
        <v>75</v>
      </c>
      <c r="BU24" s="48">
        <v>59</v>
      </c>
      <c r="BV24" s="48" t="s">
        <v>199</v>
      </c>
    </row>
    <row r="25" spans="1:78" ht="15.75" thickBot="1" x14ac:dyDescent="0.3">
      <c r="A25" s="11"/>
      <c r="B25" s="11"/>
      <c r="D25" s="11"/>
      <c r="E25" s="11"/>
      <c r="F25" s="11"/>
      <c r="G25" s="11"/>
      <c r="H25" s="8"/>
      <c r="I25" s="11"/>
      <c r="J25" s="11"/>
      <c r="K25" s="11"/>
      <c r="L25" s="11"/>
      <c r="M25" s="11"/>
      <c r="N25" s="11"/>
      <c r="O25" s="11"/>
      <c r="P25" s="11"/>
      <c r="Q25" s="11"/>
      <c r="R25" s="11"/>
      <c r="T25" s="11"/>
      <c r="U25" s="11"/>
      <c r="V25" s="8"/>
      <c r="W25" s="11"/>
      <c r="X25" s="11"/>
      <c r="Y25" s="11"/>
      <c r="Z25" s="11"/>
      <c r="AA25" s="11"/>
      <c r="AB25" s="11"/>
      <c r="AC25" s="11"/>
      <c r="AD25" s="11"/>
      <c r="AE25" s="11"/>
      <c r="AH25" s="63" t="str">
        <f t="shared" ref="AH25:AK27" si="58">AG4</f>
        <v>7A</v>
      </c>
      <c r="AI25" s="63" t="str">
        <f t="shared" si="58"/>
        <v>C2</v>
      </c>
      <c r="AJ25" s="63" t="str">
        <f t="shared" si="58"/>
        <v>1E</v>
      </c>
      <c r="AK25" s="63" t="str">
        <f t="shared" si="58"/>
        <v>C5</v>
      </c>
      <c r="AL25" s="48"/>
      <c r="AM25" s="47">
        <v>31</v>
      </c>
      <c r="AN25" s="47">
        <v>31</v>
      </c>
      <c r="AO25" s="47">
        <v>31</v>
      </c>
      <c r="AP25" s="47">
        <v>31</v>
      </c>
      <c r="AQ25" s="48"/>
      <c r="AR25" s="65" t="str">
        <f t="shared" ref="AR25:AR27" si="59">DEC2HEX(_xlfn.BITXOR(HEX2DEC(AH25),HEX2DEC(AM25)))</f>
        <v>4B</v>
      </c>
      <c r="AS25" s="65" t="str">
        <f t="shared" si="54"/>
        <v>F3</v>
      </c>
      <c r="AT25" s="65" t="str">
        <f t="shared" si="54"/>
        <v>2F</v>
      </c>
      <c r="AU25" s="65" t="str">
        <f t="shared" si="54"/>
        <v>F4</v>
      </c>
      <c r="AV25" s="48"/>
      <c r="AW25" s="48" t="s">
        <v>200</v>
      </c>
      <c r="AX25" s="48" t="s">
        <v>143</v>
      </c>
      <c r="AY25" s="48">
        <v>15</v>
      </c>
      <c r="AZ25" s="48" t="s">
        <v>102</v>
      </c>
      <c r="BA25" s="48"/>
      <c r="BB25" s="49" t="str">
        <f>AX25</f>
        <v>0D</v>
      </c>
      <c r="BC25" s="49">
        <f t="shared" ref="BC25" si="60">AY25</f>
        <v>15</v>
      </c>
      <c r="BD25" s="49" t="str">
        <f t="shared" ref="BD25" si="61">AZ25</f>
        <v>BF</v>
      </c>
      <c r="BE25" s="52" t="str">
        <f>AW25</f>
        <v>B3</v>
      </c>
      <c r="BF25" s="48"/>
      <c r="BG25" s="51">
        <v>1</v>
      </c>
      <c r="BH25" s="51">
        <v>2</v>
      </c>
      <c r="BI25" s="51">
        <v>3</v>
      </c>
      <c r="BJ25" s="51">
        <v>1</v>
      </c>
      <c r="BK25" s="48"/>
      <c r="BL25" s="48" t="str">
        <f>DEC2HEX(_xlfn.BITXOR(_xlfn.BITXOR(_xlfn.BITXOR(HEX2DEC(IF(AND(BG25=3,BB17=0),DEC2HEX(_xlfn.BITXOR(BIN2DEC((RIGHT(HEX2BIN(BB24,8)&amp;LEFT(HEX2BIN($A$1,8),1),8))),HEX2DEC(BB24)),2),IF(AND(BG25=2,BB17=0),BIN2HEX(RIGHT(HEX2BIN(BB24,8)&amp;LEFT(HEX2BIN($A$1,8),1),8)),IF(AND(BG25=2,BB17=1),DEC2HEX(_xlfn.BITXOR(BIN2DEC(RIGHT(HEX2BIN(BB24,8)&amp;LEFT(HEX2BIN($A$1,8),1),8)),HEX2DEC($B$1))),IF(AND(BG25=3,BB17=1),DEC2HEX(_xlfn.BITXOR(_xlfn.BITXOR(BIN2DEC(RIGHT(HEX2BIN(BB24,8)&amp;LEFT(HEX2BIN($A$1,8),1),8)),HEX2DEC($B$1)),HEX2DEC(BB24))),BB24))))),HEX2DEC(IF(AND(BH25=3,BB18=0),DEC2HEX(_xlfn.BITXOR(BIN2DEC((RIGHT(HEX2BIN(BB25,8)&amp;LEFT(HEX2BIN($A$1,8),1),8))),HEX2DEC(BB25)),2),IF(AND(BH25=2,BB18=0),BIN2HEX(RIGHT(HEX2BIN(BB25,8)&amp;LEFT(HEX2BIN($A$1,8),1),8)),IF(AND(BH25=2,BB18=1),DEC2HEX(_xlfn.BITXOR(BIN2DEC(RIGHT(HEX2BIN(BB25,8)&amp;LEFT(HEX2BIN($A$1,8),1),8)),HEX2DEC($B$1))),IF(AND(BH25=3,BB18=1),DEC2HEX(_xlfn.BITXOR(_xlfn.BITXOR(BIN2DEC(RIGHT(HEX2BIN(BB25,8)&amp;LEFT(HEX2BIN($A$1,8),1),8)),HEX2DEC($B$1)),HEX2DEC(BB25))),BB25)))))),HEX2DEC(IF(AND(BI25=3,BB19=0),DEC2HEX(_xlfn.BITXOR(BIN2DEC((RIGHT(HEX2BIN(BB26,8)&amp;LEFT(HEX2BIN($A$1,8),1),8))),HEX2DEC(BB26)),2),IF(AND(BI25=2,BB19=0),BIN2HEX(RIGHT(HEX2BIN(BB26,8)&amp;LEFT(HEX2BIN($A$1,8),1),8)),IF(AND(BI25=2,BB19=1),DEC2HEX(_xlfn.BITXOR(BIN2DEC(RIGHT(HEX2BIN(BB26,8)&amp;LEFT(HEX2BIN($A$1,8),1),8)),HEX2DEC($B$1))),IF(AND(BI25=3,BB19=1),DEC2HEX(_xlfn.BITXOR(_xlfn.BITXOR(BIN2DEC(RIGHT(HEX2BIN(BB26,8)&amp;LEFT(HEX2BIN($A$1,8),1),8)),HEX2DEC($B$1)),HEX2DEC(BB26))),BB26)))))),HEX2DEC(IF(AND(BJ25=3,BB20=0),DEC2HEX(_xlfn.BITXOR(BIN2DEC((RIGHT(HEX2BIN(BB27,8)&amp;LEFT(HEX2BIN($A$1,8),1),8))),HEX2DEC(BB27)),2),IF(AND(BJ25=2,BB20=0),BIN2HEX(RIGHT(HEX2BIN(BB27,8)&amp;LEFT(HEX2BIN($A$1,8),1),8)),IF(AND(BJ25=2,BB20=1),DEC2HEX(_xlfn.BITXOR(BIN2DEC(RIGHT(HEX2BIN(BB27,8)&amp;LEFT(HEX2BIN($A$1,8),1),8)),HEX2DEC($B$1))),IF(AND(BJ25=3,BB20=1),DEC2HEX(_xlfn.BITXOR(_xlfn.BITXOR(BIN2DEC(RIGHT(HEX2BIN(BB27,8)&amp;LEFT(HEX2BIN($A$1,8),1),8)),HEX2DEC($B$1)),HEX2DEC(BB27))),BB27)))))))</f>
        <v>82</v>
      </c>
      <c r="BM25" s="48" t="str">
        <f>DEC2HEX(_xlfn.BITXOR(_xlfn.BITXOR(_xlfn.BITXOR(HEX2DEC(IF(AND(BG25=3,BC17=0),DEC2HEX(_xlfn.BITXOR(BIN2DEC((RIGHT(HEX2BIN(BC24,8)&amp;LEFT(HEX2BIN($A$1,8),1),8))),HEX2DEC(BC24)),2),IF(AND(BG25=2,BC17=0),BIN2HEX(RIGHT(HEX2BIN(BC24,8)&amp;LEFT(HEX2BIN($A$1,8),1),8)),IF(AND(BG25=2,BC17=1),DEC2HEX(_xlfn.BITXOR(BIN2DEC(RIGHT(HEX2BIN(BC24,8)&amp;LEFT(HEX2BIN($A$1,8),1),8)),HEX2DEC($B$1))),IF(AND(BG25=3,BC17=1),DEC2HEX(_xlfn.BITXOR(_xlfn.BITXOR(BIN2DEC(RIGHT(HEX2BIN(BC24,8)&amp;LEFT(HEX2BIN($A$1,8),1),8)),HEX2DEC($B$1)),HEX2DEC(BC24))),BC24))))),HEX2DEC(IF(AND(BH25=3,BC18=0),DEC2HEX(_xlfn.BITXOR(BIN2DEC((RIGHT(HEX2BIN(BC25,8)&amp;LEFT(HEX2BIN($A$1,8),1),8))),HEX2DEC(BC25)),2),IF(AND(BH25=2,BC18=0),BIN2HEX(RIGHT(HEX2BIN(BC25,8)&amp;LEFT(HEX2BIN($A$1,8),1),8)),IF(AND(BH25=2,BC18=1),DEC2HEX(_xlfn.BITXOR(BIN2DEC(RIGHT(HEX2BIN(BC25,8)&amp;LEFT(HEX2BIN($A$1,8),1),8)),HEX2DEC($B$1))),IF(AND(BH25=3,BC18=1),DEC2HEX(_xlfn.BITXOR(_xlfn.BITXOR(BIN2DEC(RIGHT(HEX2BIN(BC25,8)&amp;LEFT(HEX2BIN($A$1,8),1),8)),HEX2DEC($B$1)),HEX2DEC(BC25))),BC25)))))),HEX2DEC(IF(AND(BI25=3,BC19=0),DEC2HEX(_xlfn.BITXOR(BIN2DEC((RIGHT(HEX2BIN(BC26,8)&amp;LEFT(HEX2BIN($A$1,8),1),8))),HEX2DEC(BC26)),2),IF(AND(BI25=2,BC19=0),BIN2HEX(RIGHT(HEX2BIN(BC26,8)&amp;LEFT(HEX2BIN($A$1,8),1),8)),IF(AND(BI25=2,BC19=1),DEC2HEX(_xlfn.BITXOR(BIN2DEC(RIGHT(HEX2BIN(BC26,8)&amp;LEFT(HEX2BIN($A$1,8),1),8)),HEX2DEC($B$1))),IF(AND(BI25=3,BC19=1),DEC2HEX(_xlfn.BITXOR(_xlfn.BITXOR(BIN2DEC(RIGHT(HEX2BIN(BC26,8)&amp;LEFT(HEX2BIN($A$1,8),1),8)),HEX2DEC($B$1)),HEX2DEC(BC26))),BC26)))))),HEX2DEC(IF(AND(BJ25=3,BC20=0),DEC2HEX(_xlfn.BITXOR(BIN2DEC((RIGHT(HEX2BIN(BC27,8)&amp;LEFT(HEX2BIN($A$1,8),1),8))),HEX2DEC(BC27)),2),IF(AND(BJ25=2,BC20=0),BIN2HEX(RIGHT(HEX2BIN(BC27,8)&amp;LEFT(HEX2BIN($A$1,8),1),8)),IF(AND(BJ25=2,BC20=1),DEC2HEX(_xlfn.BITXOR(BIN2DEC(RIGHT(HEX2BIN(BC27,8)&amp;LEFT(HEX2BIN($A$1,8),1),8)),HEX2DEC($B$1))),IF(AND(BJ25=3,BC20=1),DEC2HEX(_xlfn.BITXOR(_xlfn.BITXOR(BIN2DEC(RIGHT(HEX2BIN(BC27,8)&amp;LEFT(HEX2BIN($A$1,8),1),8)),HEX2DEC($B$1)),HEX2DEC(BC27))),BC27)))))))</f>
        <v>24</v>
      </c>
      <c r="BN25" s="48" t="str">
        <f>DEC2HEX(_xlfn.BITXOR(_xlfn.BITXOR(_xlfn.BITXOR(HEX2DEC(IF(AND(BG25=3,BD17=0),DEC2HEX(_xlfn.BITXOR(BIN2DEC((RIGHT(HEX2BIN(BD24,8)&amp;LEFT(HEX2BIN($A$1,8),1),8))),HEX2DEC(BD24)),2),IF(AND(BG25=2,BD17=0),BIN2HEX(RIGHT(HEX2BIN(BD24,8)&amp;LEFT(HEX2BIN($A$1,8),1),8)),IF(AND(BG25=2,BD17=1),DEC2HEX(_xlfn.BITXOR(BIN2DEC(RIGHT(HEX2BIN(BD24,8)&amp;LEFT(HEX2BIN($A$1,8),1),8)),HEX2DEC($B$1))),IF(AND(BG25=3,BD17=1),DEC2HEX(_xlfn.BITXOR(_xlfn.BITXOR(BIN2DEC(RIGHT(HEX2BIN(BD24,8)&amp;LEFT(HEX2BIN($A$1,8),1),8)),HEX2DEC($B$1)),HEX2DEC(BD24))),BD24))))),HEX2DEC(IF(AND(BH25=3,BD18=0),DEC2HEX(_xlfn.BITXOR(BIN2DEC((RIGHT(HEX2BIN(BD25,8)&amp;LEFT(HEX2BIN($A$1,8),1),8))),HEX2DEC(BD25)),2),IF(AND(BH25=2,BD18=0),BIN2HEX(RIGHT(HEX2BIN(BD25,8)&amp;LEFT(HEX2BIN($A$1,8),1),8)),IF(AND(BH25=2,BD18=1),DEC2HEX(_xlfn.BITXOR(BIN2DEC(RIGHT(HEX2BIN(BD25,8)&amp;LEFT(HEX2BIN($A$1,8),1),8)),HEX2DEC($B$1))),IF(AND(BH25=3,BD18=1),DEC2HEX(_xlfn.BITXOR(_xlfn.BITXOR(BIN2DEC(RIGHT(HEX2BIN(BD25,8)&amp;LEFT(HEX2BIN($A$1,8),1),8)),HEX2DEC($B$1)),HEX2DEC(BD25))),BD25)))))),HEX2DEC(IF(AND(BI25=3,BD19=0),DEC2HEX(_xlfn.BITXOR(BIN2DEC((RIGHT(HEX2BIN(BD26,8)&amp;LEFT(HEX2BIN($A$1,8),1),8))),HEX2DEC(BD26)),2),IF(AND(BI25=2,BD19=0),BIN2HEX(RIGHT(HEX2BIN(BD26,8)&amp;LEFT(HEX2BIN($A$1,8),1),8)),IF(AND(BI25=2,BD19=1),DEC2HEX(_xlfn.BITXOR(BIN2DEC(RIGHT(HEX2BIN(BD26,8)&amp;LEFT(HEX2BIN($A$1,8),1),8)),HEX2DEC($B$1))),IF(AND(BI25=3,BD19=1),DEC2HEX(_xlfn.BITXOR(_xlfn.BITXOR(BIN2DEC(RIGHT(HEX2BIN(BD26,8)&amp;LEFT(HEX2BIN($A$1,8),1),8)),HEX2DEC($B$1)),HEX2DEC(BD26))),BD26)))))),HEX2DEC(IF(AND(BJ25=3,BD20=0),DEC2HEX(_xlfn.BITXOR(BIN2DEC((RIGHT(HEX2BIN(BD27,8)&amp;LEFT(HEX2BIN($A$1,8),1),8))),HEX2DEC(BD27)),2),IF(AND(BJ25=2,BD20=0),BIN2HEX(RIGHT(HEX2BIN(BD27,8)&amp;LEFT(HEX2BIN($A$1,8),1),8)),IF(AND(BJ25=2,BD20=1),DEC2HEX(_xlfn.BITXOR(BIN2DEC(RIGHT(HEX2BIN(BD27,8)&amp;LEFT(HEX2BIN($A$1,8),1),8)),HEX2DEC($B$1))),IF(AND(BJ25=3,BD20=1),DEC2HEX(_xlfn.BITXOR(_xlfn.BITXOR(BIN2DEC(RIGHT(HEX2BIN(BD27,8)&amp;LEFT(HEX2BIN($A$1,8),1),8)),HEX2DEC($B$1)),HEX2DEC(BD27))),BD27)))))))</f>
        <v>38</v>
      </c>
      <c r="BO25" s="48" t="str">
        <f>DEC2HEX(_xlfn.BITXOR(_xlfn.BITXOR(_xlfn.BITXOR(HEX2DEC(IF(AND(BG25=3,BE17=0),DEC2HEX(_xlfn.BITXOR(BIN2DEC((RIGHT(HEX2BIN(BE24,8)&amp;LEFT(HEX2BIN($A$1,8),1),8))),HEX2DEC(BE24)),2),IF(AND(BG25=2,BE17=0),BIN2HEX(RIGHT(HEX2BIN(BE24,8)&amp;LEFT(HEX2BIN($A$1,8),1),8)),IF(AND(BG25=2,BE17=1),DEC2HEX(_xlfn.BITXOR(BIN2DEC(RIGHT(HEX2BIN(BE24,8)&amp;LEFT(HEX2BIN($A$1,8),1),8)),HEX2DEC($B$1))),IF(AND(BG25=3,BE17=1),DEC2HEX(_xlfn.BITXOR(_xlfn.BITXOR(BIN2DEC(RIGHT(HEX2BIN(BE24,8)&amp;LEFT(HEX2BIN($A$1,8),1),8)),HEX2DEC($B$1)),HEX2DEC(BE24))),BE24))))),HEX2DEC(IF(AND(BH25=3,BE18=0),DEC2HEX(_xlfn.BITXOR(BIN2DEC((RIGHT(HEX2BIN(BE25,8)&amp;LEFT(HEX2BIN($A$1,8),1),8))),HEX2DEC(BE25)),2),IF(AND(BH25=2,BE18=0),BIN2HEX(RIGHT(HEX2BIN(BE25,8)&amp;LEFT(HEX2BIN($A$1,8),1),8)),IF(AND(BH25=2,BE18=1),DEC2HEX(_xlfn.BITXOR(BIN2DEC(RIGHT(HEX2BIN(BE25,8)&amp;LEFT(HEX2BIN($A$1,8),1),8)),HEX2DEC($B$1))),IF(AND(BH25=3,BE18=1),DEC2HEX(_xlfn.BITXOR(_xlfn.BITXOR(BIN2DEC(RIGHT(HEX2BIN(BE25,8)&amp;LEFT(HEX2BIN($A$1,8),1),8)),HEX2DEC($B$1)),HEX2DEC(BE25))),BE25)))))),HEX2DEC(IF(AND(BI25=3,BE19=0),DEC2HEX(_xlfn.BITXOR(BIN2DEC((RIGHT(HEX2BIN(BE26,8)&amp;LEFT(HEX2BIN($A$1,8),1),8))),HEX2DEC(BE26)),2),IF(AND(BI25=2,BE19=0),BIN2HEX(RIGHT(HEX2BIN(BE26,8)&amp;LEFT(HEX2BIN($A$1,8),1),8)),IF(AND(BI25=2,BE19=1),DEC2HEX(_xlfn.BITXOR(BIN2DEC(RIGHT(HEX2BIN(BE26,8)&amp;LEFT(HEX2BIN($A$1,8),1),8)),HEX2DEC($B$1))),IF(AND(BI25=3,BE19=1),DEC2HEX(_xlfn.BITXOR(_xlfn.BITXOR(BIN2DEC(RIGHT(HEX2BIN(BE26,8)&amp;LEFT(HEX2BIN($A$1,8),1),8)),HEX2DEC($B$1)),HEX2DEC(BE26))),BE26)))))),HEX2DEC(IF(AND(BJ25=3,BE20=0),DEC2HEX(_xlfn.BITXOR(BIN2DEC((RIGHT(HEX2BIN(BE27,8)&amp;LEFT(HEX2BIN($A$1,8),1),8))),HEX2DEC(BE27)),2),IF(AND(BJ25=2,BE20=0),BIN2HEX(RIGHT(HEX2BIN(BE27,8)&amp;LEFT(HEX2BIN($A$1,8),1),8)),IF(AND(BJ25=2,BE20=1),DEC2HEX(_xlfn.BITXOR(BIN2DEC(RIGHT(HEX2BIN(BE27,8)&amp;LEFT(HEX2BIN($A$1,8),1),8)),HEX2DEC($B$1))),IF(AND(BJ25=3,BE20=1),DEC2HEX(_xlfn.BITXOR(_xlfn.BITXOR(BIN2DEC(RIGHT(HEX2BIN(BE27,8)&amp;LEFT(HEX2BIN($A$1,8),1),8)),HEX2DEC($B$1)),HEX2DEC(BE27))),BE27)))))))</f>
        <v>5A</v>
      </c>
      <c r="BP25" s="48"/>
      <c r="BQ25" s="48"/>
      <c r="BR25" s="48"/>
      <c r="BS25" s="48">
        <v>99</v>
      </c>
      <c r="BT25" s="48">
        <v>24</v>
      </c>
      <c r="BU25" s="48">
        <v>23</v>
      </c>
      <c r="BV25" s="48">
        <v>41</v>
      </c>
    </row>
    <row r="26" spans="1:78" x14ac:dyDescent="0.25">
      <c r="A26" s="12"/>
      <c r="B26" s="12"/>
      <c r="D26" s="12"/>
      <c r="E26" s="12"/>
      <c r="F26" s="12"/>
      <c r="G26" s="12"/>
      <c r="H26" s="105"/>
      <c r="I26" s="113"/>
      <c r="J26" s="113"/>
      <c r="K26" s="113"/>
      <c r="L26" s="113"/>
      <c r="M26" s="113"/>
      <c r="N26" s="113"/>
      <c r="O26" s="113"/>
      <c r="P26" s="113"/>
      <c r="Q26" s="114"/>
      <c r="R26" s="12"/>
      <c r="T26" s="12"/>
      <c r="U26" s="12"/>
      <c r="V26" s="105"/>
      <c r="W26" s="113"/>
      <c r="X26" s="113"/>
      <c r="Y26" s="113"/>
      <c r="Z26" s="113"/>
      <c r="AA26" s="113"/>
      <c r="AB26" s="113"/>
      <c r="AC26" s="113"/>
      <c r="AD26" s="113"/>
      <c r="AE26" s="114"/>
      <c r="AH26" s="63" t="str">
        <f t="shared" si="58"/>
        <v>8C</v>
      </c>
      <c r="AI26" s="63" t="str">
        <f t="shared" si="58"/>
        <v>5B</v>
      </c>
      <c r="AJ26" s="63">
        <f t="shared" si="58"/>
        <v>20</v>
      </c>
      <c r="AK26" s="63" t="str">
        <f t="shared" si="58"/>
        <v>8D</v>
      </c>
      <c r="AL26" s="48"/>
      <c r="AM26" s="47">
        <v>31</v>
      </c>
      <c r="AN26" s="47">
        <v>31</v>
      </c>
      <c r="AO26" s="47">
        <v>31</v>
      </c>
      <c r="AP26" s="47">
        <v>31</v>
      </c>
      <c r="AQ26" s="48"/>
      <c r="AR26" s="65" t="str">
        <f t="shared" si="59"/>
        <v>BD</v>
      </c>
      <c r="AS26" s="65" t="str">
        <f t="shared" si="54"/>
        <v>6A</v>
      </c>
      <c r="AT26" s="65" t="str">
        <f t="shared" si="54"/>
        <v>11</v>
      </c>
      <c r="AU26" s="65" t="str">
        <f t="shared" si="54"/>
        <v>BC</v>
      </c>
      <c r="AV26" s="48"/>
      <c r="AW26" s="48" t="s">
        <v>115</v>
      </c>
      <c r="AX26" s="48">
        <v>2</v>
      </c>
      <c r="AY26" s="48">
        <v>82</v>
      </c>
      <c r="AZ26" s="48">
        <v>65</v>
      </c>
      <c r="BA26" s="48"/>
      <c r="BB26" s="49">
        <f>AY26</f>
        <v>82</v>
      </c>
      <c r="BC26" s="49">
        <f>AZ26</f>
        <v>65</v>
      </c>
      <c r="BD26" s="49" t="str">
        <f>AW26</f>
        <v>7A</v>
      </c>
      <c r="BE26" s="52">
        <f>AX26</f>
        <v>2</v>
      </c>
      <c r="BF26" s="49"/>
      <c r="BG26" s="51">
        <v>1</v>
      </c>
      <c r="BH26" s="51">
        <v>1</v>
      </c>
      <c r="BI26" s="51">
        <v>2</v>
      </c>
      <c r="BJ26" s="51">
        <v>3</v>
      </c>
      <c r="BK26" s="48"/>
      <c r="BL26" s="48" t="str">
        <f>DEC2HEX(_xlfn.BITXOR(_xlfn.BITXOR(_xlfn.BITXOR(HEX2DEC(IF(AND(BG26=3,BB17=0),DEC2HEX(_xlfn.BITXOR(BIN2DEC((RIGHT(HEX2BIN(BB24,8)&amp;LEFT(HEX2BIN($A$1,8),1),8))),HEX2DEC(BB24)),2),IF(AND(BG26=2,BB17=0),BIN2HEX(RIGHT(HEX2BIN(BB24,8)&amp;LEFT(HEX2BIN($A$1,8),1),8)),IF(AND(BG26=2,BB17=1),DEC2HEX(_xlfn.BITXOR(BIN2DEC(RIGHT(HEX2BIN(BB24,8)&amp;LEFT(HEX2BIN($A$1,8),1),8)),HEX2DEC($B$1))),IF(AND(BG26=3,BB17=1),DEC2HEX(_xlfn.BITXOR(_xlfn.BITXOR(BIN2DEC(RIGHT(HEX2BIN(BB24,8)&amp;LEFT(HEX2BIN($A$1,8),1),8)),HEX2DEC($B$1)),HEX2DEC(BB24))),BB24))))),HEX2DEC(IF(AND(BH26=3,BB18=0),DEC2HEX(_xlfn.BITXOR(BIN2DEC((RIGHT(HEX2BIN(BB25,8)&amp;LEFT(HEX2BIN($A$1,8),1),8))),HEX2DEC(BB25)),2),IF(AND(BH26=2,BB18=0),BIN2HEX(RIGHT(HEX2BIN(BB25,8)&amp;LEFT(HEX2BIN($A$1,8),1),8)),IF(AND(BH26=2,BB18=1),DEC2HEX(_xlfn.BITXOR(BIN2DEC(RIGHT(HEX2BIN(BB25,8)&amp;LEFT(HEX2BIN($A$1,8),1),8)),HEX2DEC($B$1))),IF(AND(BH26=3,BB18=1),DEC2HEX(_xlfn.BITXOR(_xlfn.BITXOR(BIN2DEC(RIGHT(HEX2BIN(BB25,8)&amp;LEFT(HEX2BIN($A$1,8),1),8)),HEX2DEC($B$1)),HEX2DEC(BB25))),BB25)))))),HEX2DEC(IF(AND(BI26=3,BB19=0),DEC2HEX(_xlfn.BITXOR(BIN2DEC((RIGHT(HEX2BIN(BB26,8)&amp;LEFT(HEX2BIN($A$1,8),1),8))),HEX2DEC(BB26)),2),IF(AND(BI26=2,BB19=0),BIN2HEX(RIGHT(HEX2BIN(BB26,8)&amp;LEFT(HEX2BIN($A$1,8),1),8)),IF(AND(BI26=2,BB19=1),DEC2HEX(_xlfn.BITXOR(BIN2DEC(RIGHT(HEX2BIN(BB26,8)&amp;LEFT(HEX2BIN($A$1,8),1),8)),HEX2DEC($B$1))),IF(AND(BI26=3,BB19=1),DEC2HEX(_xlfn.BITXOR(_xlfn.BITXOR(BIN2DEC(RIGHT(HEX2BIN(BB26,8)&amp;LEFT(HEX2BIN($A$1,8),1),8)),HEX2DEC($B$1)),HEX2DEC(BB26))),BB26)))))),HEX2DEC(IF(AND(BJ26=3,BB20=0),DEC2HEX(_xlfn.BITXOR(BIN2DEC((RIGHT(HEX2BIN(BB27,8)&amp;LEFT(HEX2BIN($A$1,8),1),8))),HEX2DEC(BB27)),2),IF(AND(BJ26=2,BB20=0),BIN2HEX(RIGHT(HEX2BIN(BB27,8)&amp;LEFT(HEX2BIN($A$1,8),1),8)),IF(AND(BJ26=2,BB20=1),DEC2HEX(_xlfn.BITXOR(BIN2DEC(RIGHT(HEX2BIN(BB27,8)&amp;LEFT(HEX2BIN($A$1,8),1),8)),HEX2DEC($B$1))),IF(AND(BJ26=3,BB20=1),DEC2HEX(_xlfn.BITXOR(_xlfn.BITXOR(BIN2DEC(RIGHT(HEX2BIN(BB27,8)&amp;LEFT(HEX2BIN($A$1,8),1),8)),HEX2DEC($B$1)),HEX2DEC(BB27))),BB27)))))))</f>
        <v>D6</v>
      </c>
      <c r="BM26" s="48" t="str">
        <f>DEC2HEX(_xlfn.BITXOR(_xlfn.BITXOR(_xlfn.BITXOR(HEX2DEC(IF(AND(BG26=3,BC17=0),DEC2HEX(_xlfn.BITXOR(BIN2DEC((RIGHT(HEX2BIN(BC24,8)&amp;LEFT(HEX2BIN($A$1,8),1),8))),HEX2DEC(BC24)),2),IF(AND(BG26=2,BC17=0),BIN2HEX(RIGHT(HEX2BIN(BC24,8)&amp;LEFT(HEX2BIN($A$1,8),1),8)),IF(AND(BG26=2,BC17=1),DEC2HEX(_xlfn.BITXOR(BIN2DEC(RIGHT(HEX2BIN(BC24,8)&amp;LEFT(HEX2BIN($A$1,8),1),8)),HEX2DEC($B$1))),IF(AND(BG26=3,BC17=1),DEC2HEX(_xlfn.BITXOR(_xlfn.BITXOR(BIN2DEC(RIGHT(HEX2BIN(BC24,8)&amp;LEFT(HEX2BIN($A$1,8),1),8)),HEX2DEC($B$1)),HEX2DEC(BC24))),BC24))))),HEX2DEC(IF(AND(BH26=3,BC18=0),DEC2HEX(_xlfn.BITXOR(BIN2DEC((RIGHT(HEX2BIN(BC25,8)&amp;LEFT(HEX2BIN($A$1,8),1),8))),HEX2DEC(BC25)),2),IF(AND(BH26=2,BC18=0),BIN2HEX(RIGHT(HEX2BIN(BC25,8)&amp;LEFT(HEX2BIN($A$1,8),1),8)),IF(AND(BH26=2,BC18=1),DEC2HEX(_xlfn.BITXOR(BIN2DEC(RIGHT(HEX2BIN(BC25,8)&amp;LEFT(HEX2BIN($A$1,8),1),8)),HEX2DEC($B$1))),IF(AND(BH26=3,BC18=1),DEC2HEX(_xlfn.BITXOR(_xlfn.BITXOR(BIN2DEC(RIGHT(HEX2BIN(BC25,8)&amp;LEFT(HEX2BIN($A$1,8),1),8)),HEX2DEC($B$1)),HEX2DEC(BC25))),BC25)))))),HEX2DEC(IF(AND(BI26=3,BC19=0),DEC2HEX(_xlfn.BITXOR(BIN2DEC((RIGHT(HEX2BIN(BC26,8)&amp;LEFT(HEX2BIN($A$1,8),1),8))),HEX2DEC(BC26)),2),IF(AND(BI26=2,BC19=0),BIN2HEX(RIGHT(HEX2BIN(BC26,8)&amp;LEFT(HEX2BIN($A$1,8),1),8)),IF(AND(BI26=2,BC19=1),DEC2HEX(_xlfn.BITXOR(BIN2DEC(RIGHT(HEX2BIN(BC26,8)&amp;LEFT(HEX2BIN($A$1,8),1),8)),HEX2DEC($B$1))),IF(AND(BI26=3,BC19=1),DEC2HEX(_xlfn.BITXOR(_xlfn.BITXOR(BIN2DEC(RIGHT(HEX2BIN(BC26,8)&amp;LEFT(HEX2BIN($A$1,8),1),8)),HEX2DEC($B$1)),HEX2DEC(BC26))),BC26)))))),HEX2DEC(IF(AND(BJ26=3,BC20=0),DEC2HEX(_xlfn.BITXOR(BIN2DEC((RIGHT(HEX2BIN(BC27,8)&amp;LEFT(HEX2BIN($A$1,8),1),8))),HEX2DEC(BC27)),2),IF(AND(BJ26=2,BC20=0),BIN2HEX(RIGHT(HEX2BIN(BC27,8)&amp;LEFT(HEX2BIN($A$1,8),1),8)),IF(AND(BJ26=2,BC20=1),DEC2HEX(_xlfn.BITXOR(BIN2DEC(RIGHT(HEX2BIN(BC27,8)&amp;LEFT(HEX2BIN($A$1,8),1),8)),HEX2DEC($B$1))),IF(AND(BJ26=3,BC20=1),DEC2HEX(_xlfn.BITXOR(_xlfn.BITXOR(BIN2DEC(RIGHT(HEX2BIN(BC27,8)&amp;LEFT(HEX2BIN($A$1,8),1),8)),HEX2DEC($B$1)),HEX2DEC(BC27))),BC27)))))))</f>
        <v>38</v>
      </c>
      <c r="BN26" s="48" t="str">
        <f>DEC2HEX(_xlfn.BITXOR(_xlfn.BITXOR(_xlfn.BITXOR(HEX2DEC(IF(AND(BG26=3,BD17=0),DEC2HEX(_xlfn.BITXOR(BIN2DEC((RIGHT(HEX2BIN(BD24,8)&amp;LEFT(HEX2BIN($A$1,8),1),8))),HEX2DEC(BD24)),2),IF(AND(BG26=2,BD17=0),BIN2HEX(RIGHT(HEX2BIN(BD24,8)&amp;LEFT(HEX2BIN($A$1,8),1),8)),IF(AND(BG26=2,BD17=1),DEC2HEX(_xlfn.BITXOR(BIN2DEC(RIGHT(HEX2BIN(BD24,8)&amp;LEFT(HEX2BIN($A$1,8),1),8)),HEX2DEC($B$1))),IF(AND(BG26=3,BD17=1),DEC2HEX(_xlfn.BITXOR(_xlfn.BITXOR(BIN2DEC(RIGHT(HEX2BIN(BD24,8)&amp;LEFT(HEX2BIN($A$1,8),1),8)),HEX2DEC($B$1)),HEX2DEC(BD24))),BD24))))),HEX2DEC(IF(AND(BH26=3,BD18=0),DEC2HEX(_xlfn.BITXOR(BIN2DEC((RIGHT(HEX2BIN(BD25,8)&amp;LEFT(HEX2BIN($A$1,8),1),8))),HEX2DEC(BD25)),2),IF(AND(BH26=2,BD18=0),BIN2HEX(RIGHT(HEX2BIN(BD25,8)&amp;LEFT(HEX2BIN($A$1,8),1),8)),IF(AND(BH26=2,BD18=1),DEC2HEX(_xlfn.BITXOR(BIN2DEC(RIGHT(HEX2BIN(BD25,8)&amp;LEFT(HEX2BIN($A$1,8),1),8)),HEX2DEC($B$1))),IF(AND(BH26=3,BD18=1),DEC2HEX(_xlfn.BITXOR(_xlfn.BITXOR(BIN2DEC(RIGHT(HEX2BIN(BD25,8)&amp;LEFT(HEX2BIN($A$1,8),1),8)),HEX2DEC($B$1)),HEX2DEC(BD25))),BD25)))))),HEX2DEC(IF(AND(BI26=3,BD19=0),DEC2HEX(_xlfn.BITXOR(BIN2DEC((RIGHT(HEX2BIN(BD26,8)&amp;LEFT(HEX2BIN($A$1,8),1),8))),HEX2DEC(BD26)),2),IF(AND(BI26=2,BD19=0),BIN2HEX(RIGHT(HEX2BIN(BD26,8)&amp;LEFT(HEX2BIN($A$1,8),1),8)),IF(AND(BI26=2,BD19=1),DEC2HEX(_xlfn.BITXOR(BIN2DEC(RIGHT(HEX2BIN(BD26,8)&amp;LEFT(HEX2BIN($A$1,8),1),8)),HEX2DEC($B$1))),IF(AND(BI26=3,BD19=1),DEC2HEX(_xlfn.BITXOR(_xlfn.BITXOR(BIN2DEC(RIGHT(HEX2BIN(BD26,8)&amp;LEFT(HEX2BIN($A$1,8),1),8)),HEX2DEC($B$1)),HEX2DEC(BD26))),BD26)))))),HEX2DEC(IF(AND(BJ26=3,BD20=0),DEC2HEX(_xlfn.BITXOR(BIN2DEC((RIGHT(HEX2BIN(BD27,8)&amp;LEFT(HEX2BIN($A$1,8),1),8))),HEX2DEC(BD27)),2),IF(AND(BJ26=2,BD20=0),BIN2HEX(RIGHT(HEX2BIN(BD27,8)&amp;LEFT(HEX2BIN($A$1,8),1),8)),IF(AND(BJ26=2,BD20=1),DEC2HEX(_xlfn.BITXOR(BIN2DEC(RIGHT(HEX2BIN(BD27,8)&amp;LEFT(HEX2BIN($A$1,8),1),8)),HEX2DEC($B$1))),IF(AND(BJ26=3,BD20=1),DEC2HEX(_xlfn.BITXOR(_xlfn.BITXOR(BIN2DEC(RIGHT(HEX2BIN(BD27,8)&amp;LEFT(HEX2BIN($A$1,8),1),8)),HEX2DEC($B$1)),HEX2DEC(BD27))),BD27)))))))</f>
        <v>E0</v>
      </c>
      <c r="BO26" s="48" t="str">
        <f>DEC2HEX(_xlfn.BITXOR(_xlfn.BITXOR(_xlfn.BITXOR(HEX2DEC(IF(AND(BG26=3,BE17=0),DEC2HEX(_xlfn.BITXOR(BIN2DEC((RIGHT(HEX2BIN(BE24,8)&amp;LEFT(HEX2BIN($A$1,8),1),8))),HEX2DEC(BE24)),2),IF(AND(BG26=2,BE17=0),BIN2HEX(RIGHT(HEX2BIN(BE24,8)&amp;LEFT(HEX2BIN($A$1,8),1),8)),IF(AND(BG26=2,BE17=1),DEC2HEX(_xlfn.BITXOR(BIN2DEC(RIGHT(HEX2BIN(BE24,8)&amp;LEFT(HEX2BIN($A$1,8),1),8)),HEX2DEC($B$1))),IF(AND(BG26=3,BE17=1),DEC2HEX(_xlfn.BITXOR(_xlfn.BITXOR(BIN2DEC(RIGHT(HEX2BIN(BE24,8)&amp;LEFT(HEX2BIN($A$1,8),1),8)),HEX2DEC($B$1)),HEX2DEC(BE24))),BE24))))),HEX2DEC(IF(AND(BH26=3,BE18=0),DEC2HEX(_xlfn.BITXOR(BIN2DEC((RIGHT(HEX2BIN(BE25,8)&amp;LEFT(HEX2BIN($A$1,8),1),8))),HEX2DEC(BE25)),2),IF(AND(BH26=2,BE18=0),BIN2HEX(RIGHT(HEX2BIN(BE25,8)&amp;LEFT(HEX2BIN($A$1,8),1),8)),IF(AND(BH26=2,BE18=1),DEC2HEX(_xlfn.BITXOR(BIN2DEC(RIGHT(HEX2BIN(BE25,8)&amp;LEFT(HEX2BIN($A$1,8),1),8)),HEX2DEC($B$1))),IF(AND(BH26=3,BE18=1),DEC2HEX(_xlfn.BITXOR(_xlfn.BITXOR(BIN2DEC(RIGHT(HEX2BIN(BE25,8)&amp;LEFT(HEX2BIN($A$1,8),1),8)),HEX2DEC($B$1)),HEX2DEC(BE25))),BE25)))))),HEX2DEC(IF(AND(BI26=3,BE19=0),DEC2HEX(_xlfn.BITXOR(BIN2DEC((RIGHT(HEX2BIN(BE26,8)&amp;LEFT(HEX2BIN($A$1,8),1),8))),HEX2DEC(BE26)),2),IF(AND(BI26=2,BE19=0),BIN2HEX(RIGHT(HEX2BIN(BE26,8)&amp;LEFT(HEX2BIN($A$1,8),1),8)),IF(AND(BI26=2,BE19=1),DEC2HEX(_xlfn.BITXOR(BIN2DEC(RIGHT(HEX2BIN(BE26,8)&amp;LEFT(HEX2BIN($A$1,8),1),8)),HEX2DEC($B$1))),IF(AND(BI26=3,BE19=1),DEC2HEX(_xlfn.BITXOR(_xlfn.BITXOR(BIN2DEC(RIGHT(HEX2BIN(BE26,8)&amp;LEFT(HEX2BIN($A$1,8),1),8)),HEX2DEC($B$1)),HEX2DEC(BE26))),BE26)))))),HEX2DEC(IF(AND(BJ26=3,BE20=0),DEC2HEX(_xlfn.BITXOR(BIN2DEC((RIGHT(HEX2BIN(BE27,8)&amp;LEFT(HEX2BIN($A$1,8),1),8))),HEX2DEC(BE27)),2),IF(AND(BJ26=2,BE20=0),BIN2HEX(RIGHT(HEX2BIN(BE27,8)&amp;LEFT(HEX2BIN($A$1,8),1),8)),IF(AND(BJ26=2,BE20=1),DEC2HEX(_xlfn.BITXOR(BIN2DEC(RIGHT(HEX2BIN(BE27,8)&amp;LEFT(HEX2BIN($A$1,8),1),8)),HEX2DEC($B$1))),IF(AND(BJ26=3,BE20=1),DEC2HEX(_xlfn.BITXOR(_xlfn.BITXOR(BIN2DEC(RIGHT(HEX2BIN(BE27,8)&amp;LEFT(HEX2BIN($A$1,8),1),8)),HEX2DEC($B$1)),HEX2DEC(BE27))),BE27)))))))</f>
        <v>BE</v>
      </c>
      <c r="BP26" s="48"/>
      <c r="BQ26" s="48"/>
      <c r="BR26" s="48"/>
      <c r="BS26" s="48" t="s">
        <v>94</v>
      </c>
      <c r="BT26" s="48">
        <v>38</v>
      </c>
      <c r="BU26" s="48" t="s">
        <v>114</v>
      </c>
      <c r="BV26" s="48" t="s">
        <v>134</v>
      </c>
    </row>
    <row r="27" spans="1:78" x14ac:dyDescent="0.25">
      <c r="A27" s="9" t="str">
        <f>AE22</f>
        <v>B1</v>
      </c>
      <c r="B27" s="10"/>
      <c r="C27" s="8" t="s">
        <v>67</v>
      </c>
      <c r="D27" s="10"/>
      <c r="E27" s="8" t="str">
        <f t="shared" si="33"/>
        <v>C1</v>
      </c>
      <c r="F27" s="10"/>
      <c r="G27" s="10">
        <v>10</v>
      </c>
      <c r="H27" s="82" t="str">
        <f t="shared" si="2"/>
        <v>19</v>
      </c>
      <c r="I27" s="73"/>
      <c r="J27" s="11" t="str">
        <f t="shared" si="34"/>
        <v>92</v>
      </c>
      <c r="K27" s="83" t="str">
        <f t="shared" si="51"/>
        <v>8B</v>
      </c>
      <c r="L27" s="73"/>
      <c r="M27" s="73" t="str">
        <f t="shared" si="36"/>
        <v>88</v>
      </c>
      <c r="N27" s="83" t="str">
        <f t="shared" si="37"/>
        <v>3</v>
      </c>
      <c r="O27" s="73"/>
      <c r="P27" s="73" t="str">
        <f t="shared" si="38"/>
        <v>28</v>
      </c>
      <c r="Q27" s="84" t="str">
        <f t="shared" si="39"/>
        <v>2B</v>
      </c>
      <c r="R27" s="10"/>
      <c r="S27" s="8" t="s">
        <v>111</v>
      </c>
      <c r="T27" s="10"/>
      <c r="U27" s="1" t="str">
        <f t="shared" si="40"/>
        <v>5F</v>
      </c>
      <c r="V27" s="82" t="str">
        <f t="shared" si="10"/>
        <v>AE</v>
      </c>
      <c r="W27" s="73"/>
      <c r="X27" s="73" t="str">
        <f t="shared" si="41"/>
        <v>98</v>
      </c>
      <c r="Y27" s="83" t="str">
        <f t="shared" si="42"/>
        <v>36</v>
      </c>
      <c r="Z27" s="73"/>
      <c r="AA27" s="73" t="str">
        <f t="shared" si="43"/>
        <v>6D</v>
      </c>
      <c r="AB27" s="83" t="str">
        <f t="shared" si="44"/>
        <v>5B</v>
      </c>
      <c r="AC27" s="73"/>
      <c r="AD27" s="73" t="str">
        <f t="shared" si="45"/>
        <v>69</v>
      </c>
      <c r="AE27" s="84" t="str">
        <f t="shared" si="46"/>
        <v>32</v>
      </c>
      <c r="AH27" s="63">
        <f t="shared" si="58"/>
        <v>3</v>
      </c>
      <c r="AI27" s="63" t="str">
        <f t="shared" si="58"/>
        <v>5C</v>
      </c>
      <c r="AJ27" s="63" t="str">
        <f t="shared" si="58"/>
        <v>AA</v>
      </c>
      <c r="AK27" s="63">
        <f t="shared" si="58"/>
        <v>52</v>
      </c>
      <c r="AL27" s="48"/>
      <c r="AM27" s="47">
        <v>31</v>
      </c>
      <c r="AN27" s="47">
        <v>31</v>
      </c>
      <c r="AO27" s="47">
        <v>31</v>
      </c>
      <c r="AP27" s="47">
        <v>1</v>
      </c>
      <c r="AQ27" s="48"/>
      <c r="AR27" s="65" t="str">
        <f t="shared" si="59"/>
        <v>32</v>
      </c>
      <c r="AS27" s="65" t="str">
        <f t="shared" si="54"/>
        <v>6D</v>
      </c>
      <c r="AT27" s="65" t="str">
        <f t="shared" si="54"/>
        <v>9B</v>
      </c>
      <c r="AU27" s="65" t="str">
        <f t="shared" si="54"/>
        <v>53</v>
      </c>
      <c r="AV27" s="48"/>
      <c r="AW27" s="48">
        <v>23</v>
      </c>
      <c r="AX27" s="48" t="s">
        <v>88</v>
      </c>
      <c r="AY27" s="48">
        <v>14</v>
      </c>
      <c r="AZ27" s="48" t="s">
        <v>121</v>
      </c>
      <c r="BA27" s="48"/>
      <c r="BB27" s="49" t="str">
        <f>AZ27</f>
        <v>ED</v>
      </c>
      <c r="BC27" s="49">
        <f>AW27</f>
        <v>23</v>
      </c>
      <c r="BD27" s="49" t="str">
        <f t="shared" ref="BD27" si="62">AX27</f>
        <v>3C</v>
      </c>
      <c r="BE27" s="53">
        <f t="shared" ref="BE27" si="63">AY27</f>
        <v>14</v>
      </c>
      <c r="BF27" s="48"/>
      <c r="BG27" s="54">
        <v>3</v>
      </c>
      <c r="BH27" s="55">
        <v>1</v>
      </c>
      <c r="BI27" s="55">
        <v>1</v>
      </c>
      <c r="BJ27" s="56">
        <v>2</v>
      </c>
      <c r="BK27" s="48"/>
      <c r="BL27" s="48" t="str">
        <f>DEC2HEX(_xlfn.BITXOR(_xlfn.BITXOR(_xlfn.BITXOR(HEX2DEC(IF(AND(BG27=3,BB17=0),DEC2HEX(_xlfn.BITXOR(BIN2DEC((RIGHT(HEX2BIN(BB24,8)&amp;LEFT(HEX2BIN($A$1,8),1),8))),HEX2DEC(BB24)),2),IF(AND(BG27=2,BB17=0),BIN2HEX(RIGHT(HEX2BIN(BB24,8)&amp;LEFT(HEX2BIN($A$1,8),1),8)),IF(AND(BG27=2,BB17=1),DEC2HEX(_xlfn.BITXOR(BIN2DEC(RIGHT(HEX2BIN(BB24,8)&amp;LEFT(HEX2BIN($A$1,8),1),8)),HEX2DEC($B$1))),IF(AND(BG27=3,BB17=1),DEC2HEX(_xlfn.BITXOR(_xlfn.BITXOR(BIN2DEC(RIGHT(HEX2BIN(BB24,8)&amp;LEFT(HEX2BIN($A$1,8),1),8)),HEX2DEC($B$1)),HEX2DEC(BB24))),BB24))))),HEX2DEC(IF(AND(BH27=3,BB18=0),DEC2HEX(_xlfn.BITXOR(BIN2DEC((RIGHT(HEX2BIN(BB25,8)&amp;LEFT(HEX2BIN($A$1,8),1),8))),HEX2DEC(BB25)),2),IF(AND(BH27=2,BB18=0),BIN2HEX(RIGHT(HEX2BIN(BB25,8)&amp;LEFT(HEX2BIN($A$1,8),1),8)),IF(AND(BH27=2,BB18=1),DEC2HEX(_xlfn.BITXOR(BIN2DEC(RIGHT(HEX2BIN(BB25,8)&amp;LEFT(HEX2BIN($A$1,8),1),8)),HEX2DEC($B$1))),IF(AND(BH27=3,BB18=1),DEC2HEX(_xlfn.BITXOR(_xlfn.BITXOR(BIN2DEC(RIGHT(HEX2BIN(BB25,8)&amp;LEFT(HEX2BIN($A$1,8),1),8)),HEX2DEC($B$1)),HEX2DEC(BB25))),BB25)))))),HEX2DEC(IF(AND(BI27=3,BB19=0),DEC2HEX(_xlfn.BITXOR(BIN2DEC((RIGHT(HEX2BIN(BB26,8)&amp;LEFT(HEX2BIN($A$1,8),1),8))),HEX2DEC(BB26)),2),IF(AND(BI27=2,BB19=0),BIN2HEX(RIGHT(HEX2BIN(BB26,8)&amp;LEFT(HEX2BIN($A$1,8),1),8)),IF(AND(BI27=2,BB19=1),DEC2HEX(_xlfn.BITXOR(BIN2DEC(RIGHT(HEX2BIN(BB26,8)&amp;LEFT(HEX2BIN($A$1,8),1),8)),HEX2DEC($B$1))),IF(AND(BI27=3,BB19=1),DEC2HEX(_xlfn.BITXOR(_xlfn.BITXOR(BIN2DEC(RIGHT(HEX2BIN(BB26,8)&amp;LEFT(HEX2BIN($A$1,8),1),8)),HEX2DEC($B$1)),HEX2DEC(BB26))),BB26)))))),HEX2DEC(IF(AND(BJ27=3,BB20=0),DEC2HEX(_xlfn.BITXOR(BIN2DEC((RIGHT(HEX2BIN(BB27,8)&amp;LEFT(HEX2BIN($A$1,8),1),8))),HEX2DEC(BB27)),2),IF(AND(BJ27=2,BB20=0),BIN2HEX(RIGHT(HEX2BIN(BB27,8)&amp;LEFT(HEX2BIN($A$1,8),1),8)),IF(AND(BJ27=2,BB20=1),DEC2HEX(_xlfn.BITXOR(BIN2DEC(RIGHT(HEX2BIN(BB27,8)&amp;LEFT(HEX2BIN($A$1,8),1),8)),HEX2DEC($B$1))),IF(AND(BJ27=3,BB20=1),DEC2HEX(_xlfn.BITXOR(_xlfn.BITXOR(BIN2DEC(RIGHT(HEX2BIN(BB27,8)&amp;LEFT(HEX2BIN($A$1,8),1),8)),HEX2DEC($B$1)),HEX2DEC(BB27))),BB27)))))))</f>
        <v>6D</v>
      </c>
      <c r="BM27" s="48" t="str">
        <f>DEC2HEX(_xlfn.BITXOR(_xlfn.BITXOR(_xlfn.BITXOR(HEX2DEC(IF(AND(BG27=3,BC17=0),DEC2HEX(_xlfn.BITXOR(BIN2DEC((RIGHT(HEX2BIN(BC24,8)&amp;LEFT(HEX2BIN($A$1,8),1),8))),HEX2DEC(BC24)),2),IF(AND(BG27=2,BC17=0),BIN2HEX(RIGHT(HEX2BIN(BC24,8)&amp;LEFT(HEX2BIN($A$1,8),1),8)),IF(AND(BG27=2,BC17=1),DEC2HEX(_xlfn.BITXOR(BIN2DEC(RIGHT(HEX2BIN(BC24,8)&amp;LEFT(HEX2BIN($A$1,8),1),8)),HEX2DEC($B$1))),IF(AND(BG27=3,BC17=1),DEC2HEX(_xlfn.BITXOR(_xlfn.BITXOR(BIN2DEC(RIGHT(HEX2BIN(BC24,8)&amp;LEFT(HEX2BIN($A$1,8),1),8)),HEX2DEC($B$1)),HEX2DEC(BC24))),BC24))))),HEX2DEC(IF(AND(BH27=3,BC18=0),DEC2HEX(_xlfn.BITXOR(BIN2DEC((RIGHT(HEX2BIN(BC25,8)&amp;LEFT(HEX2BIN($A$1,8),1),8))),HEX2DEC(BC25)),2),IF(AND(BH27=2,BC18=0),BIN2HEX(RIGHT(HEX2BIN(BC25,8)&amp;LEFT(HEX2BIN($A$1,8),1),8)),IF(AND(BH27=2,BC18=1),DEC2HEX(_xlfn.BITXOR(BIN2DEC(RIGHT(HEX2BIN(BC25,8)&amp;LEFT(HEX2BIN($A$1,8),1),8)),HEX2DEC($B$1))),IF(AND(BH27=3,BC18=1),DEC2HEX(_xlfn.BITXOR(_xlfn.BITXOR(BIN2DEC(RIGHT(HEX2BIN(BC25,8)&amp;LEFT(HEX2BIN($A$1,8),1),8)),HEX2DEC($B$1)),HEX2DEC(BC25))),BC25)))))),HEX2DEC(IF(AND(BI27=3,BC19=0),DEC2HEX(_xlfn.BITXOR(BIN2DEC((RIGHT(HEX2BIN(BC26,8)&amp;LEFT(HEX2BIN($A$1,8),1),8))),HEX2DEC(BC26)),2),IF(AND(BI27=2,BC19=0),BIN2HEX(RIGHT(HEX2BIN(BC26,8)&amp;LEFT(HEX2BIN($A$1,8),1),8)),IF(AND(BI27=2,BC19=1),DEC2HEX(_xlfn.BITXOR(BIN2DEC(RIGHT(HEX2BIN(BC26,8)&amp;LEFT(HEX2BIN($A$1,8),1),8)),HEX2DEC($B$1))),IF(AND(BI27=3,BC19=1),DEC2HEX(_xlfn.BITXOR(_xlfn.BITXOR(BIN2DEC(RIGHT(HEX2BIN(BC26,8)&amp;LEFT(HEX2BIN($A$1,8),1),8)),HEX2DEC($B$1)),HEX2DEC(BC26))),BC26)))))),HEX2DEC(IF(AND(BJ27=3,BC20=0),DEC2HEX(_xlfn.BITXOR(BIN2DEC((RIGHT(HEX2BIN(BC27,8)&amp;LEFT(HEX2BIN($A$1,8),1),8))),HEX2DEC(BC27)),2),IF(AND(BJ27=2,BC20=0),BIN2HEX(RIGHT(HEX2BIN(BC27,8)&amp;LEFT(HEX2BIN($A$1,8),1),8)),IF(AND(BJ27=2,BC20=1),DEC2HEX(_xlfn.BITXOR(BIN2DEC(RIGHT(HEX2BIN(BC27,8)&amp;LEFT(HEX2BIN($A$1,8),1),8)),HEX2DEC($B$1))),IF(AND(BJ27=3,BC20=1),DEC2HEX(_xlfn.BITXOR(_xlfn.BITXOR(BIN2DEC(RIGHT(HEX2BIN(BC27,8)&amp;LEFT(HEX2BIN($A$1,8),1),8)),HEX2DEC($B$1)),HEX2DEC(BC27))),BC27)))))))</f>
        <v>AB</v>
      </c>
      <c r="BN27" s="48" t="str">
        <f>DEC2HEX(_xlfn.BITXOR(_xlfn.BITXOR(_xlfn.BITXOR(HEX2DEC(IF(AND(BG27=3,BD17=0),DEC2HEX(_xlfn.BITXOR(BIN2DEC((RIGHT(HEX2BIN(BD24,8)&amp;LEFT(HEX2BIN($A$1,8),1),8))),HEX2DEC(BD24)),2),IF(AND(BG27=2,BD17=0),BIN2HEX(RIGHT(HEX2BIN(BD24,8)&amp;LEFT(HEX2BIN($A$1,8),1),8)),IF(AND(BG27=2,BD17=1),DEC2HEX(_xlfn.BITXOR(BIN2DEC(RIGHT(HEX2BIN(BD24,8)&amp;LEFT(HEX2BIN($A$1,8),1),8)),HEX2DEC($B$1))),IF(AND(BG27=3,BD17=1),DEC2HEX(_xlfn.BITXOR(_xlfn.BITXOR(BIN2DEC(RIGHT(HEX2BIN(BD24,8)&amp;LEFT(HEX2BIN($A$1,8),1),8)),HEX2DEC($B$1)),HEX2DEC(BD24))),BD24))))),HEX2DEC(IF(AND(BH27=3,BD18=0),DEC2HEX(_xlfn.BITXOR(BIN2DEC((RIGHT(HEX2BIN(BD25,8)&amp;LEFT(HEX2BIN($A$1,8),1),8))),HEX2DEC(BD25)),2),IF(AND(BH27=2,BD18=0),BIN2HEX(RIGHT(HEX2BIN(BD25,8)&amp;LEFT(HEX2BIN($A$1,8),1),8)),IF(AND(BH27=2,BD18=1),DEC2HEX(_xlfn.BITXOR(BIN2DEC(RIGHT(HEX2BIN(BD25,8)&amp;LEFT(HEX2BIN($A$1,8),1),8)),HEX2DEC($B$1))),IF(AND(BH27=3,BD18=1),DEC2HEX(_xlfn.BITXOR(_xlfn.BITXOR(BIN2DEC(RIGHT(HEX2BIN(BD25,8)&amp;LEFT(HEX2BIN($A$1,8),1),8)),HEX2DEC($B$1)),HEX2DEC(BD25))),BD25)))))),HEX2DEC(IF(AND(BI27=3,BD19=0),DEC2HEX(_xlfn.BITXOR(BIN2DEC((RIGHT(HEX2BIN(BD26,8)&amp;LEFT(HEX2BIN($A$1,8),1),8))),HEX2DEC(BD26)),2),IF(AND(BI27=2,BD19=0),BIN2HEX(RIGHT(HEX2BIN(BD26,8)&amp;LEFT(HEX2BIN($A$1,8),1),8)),IF(AND(BI27=2,BD19=1),DEC2HEX(_xlfn.BITXOR(BIN2DEC(RIGHT(HEX2BIN(BD26,8)&amp;LEFT(HEX2BIN($A$1,8),1),8)),HEX2DEC($B$1))),IF(AND(BI27=3,BD19=1),DEC2HEX(_xlfn.BITXOR(_xlfn.BITXOR(BIN2DEC(RIGHT(HEX2BIN(BD26,8)&amp;LEFT(HEX2BIN($A$1,8),1),8)),HEX2DEC($B$1)),HEX2DEC(BD26))),BD26)))))),HEX2DEC(IF(AND(BJ27=3,BD20=0),DEC2HEX(_xlfn.BITXOR(BIN2DEC((RIGHT(HEX2BIN(BD27,8)&amp;LEFT(HEX2BIN($A$1,8),1),8))),HEX2DEC(BD27)),2),IF(AND(BJ27=2,BD20=0),BIN2HEX(RIGHT(HEX2BIN(BD27,8)&amp;LEFT(HEX2BIN($A$1,8),1),8)),IF(AND(BJ27=2,BD20=1),DEC2HEX(_xlfn.BITXOR(BIN2DEC(RIGHT(HEX2BIN(BD27,8)&amp;LEFT(HEX2BIN($A$1,8),1),8)),HEX2DEC($B$1))),IF(AND(BJ27=3,BD20=1),DEC2HEX(_xlfn.BITXOR(_xlfn.BITXOR(BIN2DEC(RIGHT(HEX2BIN(BD27,8)&amp;LEFT(HEX2BIN($A$1,8),1),8)),HEX2DEC($B$1)),HEX2DEC(BD27))),BD27)))))))</f>
        <v>97</v>
      </c>
      <c r="BO27" s="48" t="str">
        <f>DEC2HEX(_xlfn.BITXOR(_xlfn.BITXOR(_xlfn.BITXOR(HEX2DEC(IF(AND(BG27=3,BE17=0),DEC2HEX(_xlfn.BITXOR(BIN2DEC((RIGHT(HEX2BIN(BE24,8)&amp;LEFT(HEX2BIN($A$1,8),1),8))),HEX2DEC(BE24)),2),IF(AND(BG27=2,BE17=0),BIN2HEX(RIGHT(HEX2BIN(BE24,8)&amp;LEFT(HEX2BIN($A$1,8),1),8)),IF(AND(BG27=2,BE17=1),DEC2HEX(_xlfn.BITXOR(BIN2DEC(RIGHT(HEX2BIN(BE24,8)&amp;LEFT(HEX2BIN($A$1,8),1),8)),HEX2DEC($B$1))),IF(AND(BG27=3,BE17=1),DEC2HEX(_xlfn.BITXOR(_xlfn.BITXOR(BIN2DEC(RIGHT(HEX2BIN(BE24,8)&amp;LEFT(HEX2BIN($A$1,8),1),8)),HEX2DEC($B$1)),HEX2DEC(BE24))),BE24))))),HEX2DEC(IF(AND(BH27=3,BE18=0),DEC2HEX(_xlfn.BITXOR(BIN2DEC((RIGHT(HEX2BIN(BE25,8)&amp;LEFT(HEX2BIN($A$1,8),1),8))),HEX2DEC(BE25)),2),IF(AND(BH27=2,BE18=0),BIN2HEX(RIGHT(HEX2BIN(BE25,8)&amp;LEFT(HEX2BIN($A$1,8),1),8)),IF(AND(BH27=2,BE18=1),DEC2HEX(_xlfn.BITXOR(BIN2DEC(RIGHT(HEX2BIN(BE25,8)&amp;LEFT(HEX2BIN($A$1,8),1),8)),HEX2DEC($B$1))),IF(AND(BH27=3,BE18=1),DEC2HEX(_xlfn.BITXOR(_xlfn.BITXOR(BIN2DEC(RIGHT(HEX2BIN(BE25,8)&amp;LEFT(HEX2BIN($A$1,8),1),8)),HEX2DEC($B$1)),HEX2DEC(BE25))),BE25)))))),HEX2DEC(IF(AND(BI27=3,BE19=0),DEC2HEX(_xlfn.BITXOR(BIN2DEC((RIGHT(HEX2BIN(BE26,8)&amp;LEFT(HEX2BIN($A$1,8),1),8))),HEX2DEC(BE26)),2),IF(AND(BI27=2,BE19=0),BIN2HEX(RIGHT(HEX2BIN(BE26,8)&amp;LEFT(HEX2BIN($A$1,8),1),8)),IF(AND(BI27=2,BE19=1),DEC2HEX(_xlfn.BITXOR(BIN2DEC(RIGHT(HEX2BIN(BE26,8)&amp;LEFT(HEX2BIN($A$1,8),1),8)),HEX2DEC($B$1))),IF(AND(BI27=3,BE19=1),DEC2HEX(_xlfn.BITXOR(_xlfn.BITXOR(BIN2DEC(RIGHT(HEX2BIN(BE26,8)&amp;LEFT(HEX2BIN($A$1,8),1),8)),HEX2DEC($B$1)),HEX2DEC(BE26))),BE26)))))),HEX2DEC(IF(AND(BJ27=3,BE20=0),DEC2HEX(_xlfn.BITXOR(BIN2DEC((RIGHT(HEX2BIN(BE27,8)&amp;LEFT(HEX2BIN($A$1,8),1),8))),HEX2DEC(BE27)),2),IF(AND(BJ27=2,BE20=0),BIN2HEX(RIGHT(HEX2BIN(BE27,8)&amp;LEFT(HEX2BIN($A$1,8),1),8)),IF(AND(BJ27=2,BE20=1),DEC2HEX(_xlfn.BITXOR(BIN2DEC(RIGHT(HEX2BIN(BE27,8)&amp;LEFT(HEX2BIN($A$1,8),1),8)),HEX2DEC($B$1))),IF(AND(BJ27=3,BE20=1),DEC2HEX(_xlfn.BITXOR(_xlfn.BITXOR(BIN2DEC(RIGHT(HEX2BIN(BE27,8)&amp;LEFT(HEX2BIN($A$1,8),1),8)),HEX2DEC($B$1)),HEX2DEC(BE27))),BE27)))))))</f>
        <v>C6</v>
      </c>
      <c r="BP27" s="48"/>
      <c r="BQ27" s="48"/>
      <c r="BR27" s="48"/>
      <c r="BS27" s="48" t="s">
        <v>98</v>
      </c>
      <c r="BT27" s="48" t="s">
        <v>141</v>
      </c>
      <c r="BU27" s="48" t="s">
        <v>161</v>
      </c>
      <c r="BV27" s="48" t="s">
        <v>97</v>
      </c>
      <c r="BY27" s="1" t="s">
        <v>179</v>
      </c>
      <c r="BZ27" s="11" t="s">
        <v>180</v>
      </c>
    </row>
    <row r="28" spans="1:78" x14ac:dyDescent="0.25">
      <c r="A28" s="9" t="str">
        <f t="shared" ref="A28:A29" si="64">AE23</f>
        <v>AC</v>
      </c>
      <c r="B28" s="10"/>
      <c r="C28" s="8">
        <v>91</v>
      </c>
      <c r="D28" s="10"/>
      <c r="E28" s="8" t="str">
        <f t="shared" si="33"/>
        <v>A2</v>
      </c>
      <c r="F28" s="10"/>
      <c r="G28" s="10"/>
      <c r="H28" s="82" t="str">
        <f t="shared" si="2"/>
        <v>33</v>
      </c>
      <c r="I28" s="73"/>
      <c r="J28" s="11" t="str">
        <f t="shared" si="34"/>
        <v>9E</v>
      </c>
      <c r="K28" s="83" t="str">
        <f t="shared" si="51"/>
        <v>AD</v>
      </c>
      <c r="L28" s="73"/>
      <c r="M28" s="73" t="str">
        <f t="shared" si="36"/>
        <v>A</v>
      </c>
      <c r="N28" s="83" t="str">
        <f t="shared" si="37"/>
        <v>A7</v>
      </c>
      <c r="O28" s="73"/>
      <c r="P28" s="73" t="str">
        <f t="shared" si="38"/>
        <v>22</v>
      </c>
      <c r="Q28" s="84" t="str">
        <f t="shared" si="39"/>
        <v>85</v>
      </c>
      <c r="R28" s="10"/>
      <c r="S28" s="8">
        <v>97</v>
      </c>
      <c r="T28" s="10"/>
      <c r="U28" s="1" t="str">
        <f t="shared" si="40"/>
        <v>14</v>
      </c>
      <c r="V28" s="82" t="str">
        <f t="shared" si="10"/>
        <v>83</v>
      </c>
      <c r="W28" s="73"/>
      <c r="X28" s="73" t="str">
        <f t="shared" si="41"/>
        <v>75</v>
      </c>
      <c r="Y28" s="83" t="str">
        <f t="shared" si="42"/>
        <v>F6</v>
      </c>
      <c r="Z28" s="73"/>
      <c r="AA28" s="73" t="str">
        <f t="shared" si="43"/>
        <v>0</v>
      </c>
      <c r="AB28" s="83" t="str">
        <f t="shared" si="44"/>
        <v>F6</v>
      </c>
      <c r="AC28" s="73"/>
      <c r="AD28" s="73" t="str">
        <f t="shared" si="45"/>
        <v>B1</v>
      </c>
      <c r="AE28" s="84" t="str">
        <f t="shared" si="46"/>
        <v>47</v>
      </c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8"/>
      <c r="BR28" s="48"/>
      <c r="BS28" s="48"/>
      <c r="BT28" s="48"/>
      <c r="BU28" s="48"/>
      <c r="BV28" s="48"/>
      <c r="BY28" t="str">
        <f>BIN2HEX(RIGHT(HEX2BIN(BQ37,8)&amp;LEFT(HEX2BIN($A$1,8),1),8))</f>
        <v>A8</v>
      </c>
      <c r="BZ28" t="str">
        <f>DEC2HEX(_xlfn.BITXOR(BIN2DEC((RIGHT(HEX2BIN(BQ37,8)&amp;LEFT(HEX2BIN($A$1,8),1),8))),HEX2DEC(BQ37)),2)</f>
        <v>7C</v>
      </c>
    </row>
    <row r="29" spans="1:78" x14ac:dyDescent="0.25">
      <c r="A29" s="9" t="str">
        <f t="shared" si="64"/>
        <v>88</v>
      </c>
      <c r="B29" s="10"/>
      <c r="C29" s="8" t="s">
        <v>203</v>
      </c>
      <c r="D29" s="10"/>
      <c r="E29" s="8" t="str">
        <f t="shared" si="33"/>
        <v>80</v>
      </c>
      <c r="F29" s="10"/>
      <c r="G29" s="10"/>
      <c r="H29" s="82" t="str">
        <f t="shared" si="2"/>
        <v>44</v>
      </c>
      <c r="I29" s="73"/>
      <c r="J29" s="11" t="str">
        <f t="shared" si="34"/>
        <v>12</v>
      </c>
      <c r="K29" s="83" t="str">
        <f t="shared" si="51"/>
        <v>56</v>
      </c>
      <c r="L29" s="73"/>
      <c r="M29" s="73" t="str">
        <f t="shared" si="36"/>
        <v>13</v>
      </c>
      <c r="N29" s="83" t="str">
        <f t="shared" si="37"/>
        <v>45</v>
      </c>
      <c r="O29" s="73"/>
      <c r="P29" s="73" t="str">
        <f t="shared" si="38"/>
        <v>BE</v>
      </c>
      <c r="Q29" s="84" t="str">
        <f t="shared" si="39"/>
        <v>FB</v>
      </c>
      <c r="R29" s="10"/>
      <c r="S29" s="8" t="s">
        <v>158</v>
      </c>
      <c r="T29" s="10"/>
      <c r="U29" s="1" t="str">
        <f t="shared" si="40"/>
        <v>9C</v>
      </c>
      <c r="V29" s="82" t="str">
        <f t="shared" si="10"/>
        <v>93</v>
      </c>
      <c r="W29" s="73"/>
      <c r="X29" s="73" t="str">
        <f t="shared" si="41"/>
        <v>D2</v>
      </c>
      <c r="Y29" s="83" t="str">
        <f t="shared" si="42"/>
        <v>41</v>
      </c>
      <c r="Z29" s="73"/>
      <c r="AA29" s="73" t="str">
        <f t="shared" si="43"/>
        <v>1C</v>
      </c>
      <c r="AB29" s="83" t="str">
        <f t="shared" si="44"/>
        <v>5D</v>
      </c>
      <c r="AC29" s="73"/>
      <c r="AD29" s="73" t="str">
        <f t="shared" si="45"/>
        <v>AC</v>
      </c>
      <c r="AE29" s="84" t="str">
        <f t="shared" si="46"/>
        <v>F1</v>
      </c>
      <c r="AW29" s="39"/>
      <c r="AX29" s="39"/>
      <c r="AY29" s="39"/>
      <c r="AZ29" s="39"/>
    </row>
    <row r="30" spans="1:78" ht="15.75" thickBot="1" x14ac:dyDescent="0.3">
      <c r="A30" s="9" t="str">
        <f>AE21</f>
        <v>69</v>
      </c>
      <c r="B30" s="10"/>
      <c r="C30" s="8" t="s">
        <v>71</v>
      </c>
      <c r="D30" s="10"/>
      <c r="E30" s="8" t="str">
        <f t="shared" si="33"/>
        <v>32</v>
      </c>
      <c r="F30" s="10"/>
      <c r="G30" s="10"/>
      <c r="H30" s="85" t="str">
        <f t="shared" si="2"/>
        <v>CB</v>
      </c>
      <c r="I30" s="86"/>
      <c r="J30" s="87" t="str">
        <f t="shared" si="34"/>
        <v>80</v>
      </c>
      <c r="K30" s="88" t="str">
        <f t="shared" si="51"/>
        <v>4B</v>
      </c>
      <c r="L30" s="86"/>
      <c r="M30" s="86" t="str">
        <f t="shared" si="36"/>
        <v>F9</v>
      </c>
      <c r="N30" s="88" t="str">
        <f t="shared" si="37"/>
        <v>B2</v>
      </c>
      <c r="O30" s="86"/>
      <c r="P30" s="86" t="str">
        <f t="shared" si="38"/>
        <v>A0</v>
      </c>
      <c r="Q30" s="89" t="str">
        <f t="shared" si="39"/>
        <v>12</v>
      </c>
      <c r="R30" s="10"/>
      <c r="S30" s="8" t="s">
        <v>127</v>
      </c>
      <c r="T30" s="10"/>
      <c r="U30" s="1" t="str">
        <f t="shared" si="40"/>
        <v>1</v>
      </c>
      <c r="V30" s="85" t="str">
        <f t="shared" si="10"/>
        <v>C8</v>
      </c>
      <c r="W30" s="86"/>
      <c r="X30" s="86" t="str">
        <f t="shared" si="41"/>
        <v>DA</v>
      </c>
      <c r="Y30" s="88" t="str">
        <f t="shared" si="42"/>
        <v>12</v>
      </c>
      <c r="Z30" s="86"/>
      <c r="AA30" s="86" t="str">
        <f t="shared" si="43"/>
        <v>EE</v>
      </c>
      <c r="AB30" s="88" t="str">
        <f t="shared" si="44"/>
        <v>FC</v>
      </c>
      <c r="AC30" s="86"/>
      <c r="AD30" s="86" t="str">
        <f t="shared" si="45"/>
        <v>88</v>
      </c>
      <c r="AE30" s="89" t="str">
        <f t="shared" si="46"/>
        <v>74</v>
      </c>
      <c r="AW30" s="39"/>
      <c r="AX30" s="39"/>
      <c r="AY30" s="39"/>
      <c r="AZ30" s="39"/>
      <c r="BB30" s="10"/>
      <c r="BC30" s="10"/>
      <c r="BD30" s="10"/>
      <c r="BE30" s="10"/>
      <c r="BQ30" s="1">
        <v>1</v>
      </c>
      <c r="BR30" s="1">
        <v>1</v>
      </c>
      <c r="BS30" s="1">
        <v>1</v>
      </c>
      <c r="BT30" s="1">
        <v>0</v>
      </c>
    </row>
    <row r="31" spans="1:78" ht="15.75" thickBot="1" x14ac:dyDescent="0.3">
      <c r="A31" s="13"/>
      <c r="B31" s="13"/>
      <c r="D31" s="13"/>
      <c r="E31" s="13"/>
      <c r="F31" s="13"/>
      <c r="G31" s="13"/>
      <c r="H31" s="8"/>
      <c r="I31" s="11"/>
      <c r="J31" s="11"/>
      <c r="K31" s="11"/>
      <c r="L31" s="11"/>
      <c r="M31" s="11"/>
      <c r="N31" s="11"/>
      <c r="O31" s="11"/>
      <c r="P31" s="11"/>
      <c r="Q31" s="11"/>
      <c r="R31" s="13"/>
      <c r="T31" s="13"/>
      <c r="U31" s="13"/>
      <c r="V31" s="8"/>
      <c r="W31" s="11"/>
      <c r="X31" s="11"/>
      <c r="Y31" s="11"/>
      <c r="Z31" s="11"/>
      <c r="AA31" s="11"/>
      <c r="AB31" s="11"/>
      <c r="AC31" s="11"/>
      <c r="AD31" s="11"/>
      <c r="AE31" s="11"/>
      <c r="AW31" s="39"/>
      <c r="AX31" s="39"/>
      <c r="AY31" s="39"/>
      <c r="AZ31" s="39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Q31" s="1">
        <v>1</v>
      </c>
      <c r="BR31" s="1">
        <v>1</v>
      </c>
      <c r="BS31" s="1">
        <v>0</v>
      </c>
      <c r="BT31" s="1">
        <v>0</v>
      </c>
    </row>
    <row r="32" spans="1:78" x14ac:dyDescent="0.25">
      <c r="A32" s="12"/>
      <c r="B32" s="12"/>
      <c r="D32" s="12"/>
      <c r="E32" s="12"/>
      <c r="F32" s="12"/>
      <c r="G32" s="12"/>
      <c r="H32" s="105"/>
      <c r="I32" s="113"/>
      <c r="J32" s="113"/>
      <c r="K32" s="113"/>
      <c r="L32" s="113"/>
      <c r="M32" s="113"/>
      <c r="N32" s="113"/>
      <c r="O32" s="113"/>
      <c r="P32" s="113"/>
      <c r="Q32" s="114"/>
      <c r="R32" s="12"/>
      <c r="T32" s="12"/>
      <c r="U32" s="12"/>
      <c r="V32" s="105">
        <v>1</v>
      </c>
      <c r="W32" s="113"/>
      <c r="X32" s="113"/>
      <c r="Y32" s="113">
        <v>2</v>
      </c>
      <c r="Z32" s="113"/>
      <c r="AA32" s="113"/>
      <c r="AB32" s="113">
        <v>3</v>
      </c>
      <c r="AC32" s="113"/>
      <c r="AD32" s="113"/>
      <c r="AE32" s="114">
        <v>4</v>
      </c>
      <c r="AW32" s="39"/>
      <c r="AX32" s="39"/>
      <c r="AY32" s="39"/>
      <c r="AZ32" s="39"/>
      <c r="BB32" s="75">
        <f>IF(BIN2DEC(LEFT(HEX2BIN(BB39,8),1))=0,0,1)</f>
        <v>0</v>
      </c>
      <c r="BC32" s="75">
        <f>IF(BIN2DEC(LEFT(HEX2BIN(BC39,8),1))=0,0,1)</f>
        <v>1</v>
      </c>
      <c r="BD32" s="75">
        <f>IF(BIN2DEC(LEFT(HEX2BIN(BD39,8),1))=0,0,1)</f>
        <v>1</v>
      </c>
      <c r="BE32" s="75">
        <f>IF(BIN2DEC(LEFT(HEX2BIN(BE39,8),1))=0,0,1)</f>
        <v>1</v>
      </c>
      <c r="BF32" s="10"/>
      <c r="BG32" s="10"/>
      <c r="BH32" s="10"/>
      <c r="BI32" s="10"/>
      <c r="BJ32" s="10"/>
      <c r="BK32" s="10"/>
      <c r="BQ32" s="1">
        <v>0</v>
      </c>
      <c r="BR32" s="1">
        <v>0</v>
      </c>
      <c r="BS32" s="1">
        <v>0</v>
      </c>
      <c r="BT32" s="1">
        <v>1</v>
      </c>
    </row>
    <row r="33" spans="1:82" x14ac:dyDescent="0.25">
      <c r="A33" s="9" t="str">
        <f>AE28</f>
        <v>47</v>
      </c>
      <c r="B33" s="10"/>
      <c r="C33" s="8" t="s">
        <v>178</v>
      </c>
      <c r="D33" s="10"/>
      <c r="E33" s="8" t="str">
        <f t="shared" si="33"/>
        <v>19</v>
      </c>
      <c r="F33" s="10"/>
      <c r="G33" s="10">
        <v>20</v>
      </c>
      <c r="H33" s="82" t="str">
        <f t="shared" si="2"/>
        <v>99</v>
      </c>
      <c r="I33" s="73"/>
      <c r="J33" s="11" t="str">
        <f t="shared" si="34"/>
        <v>8B</v>
      </c>
      <c r="K33" s="83" t="str">
        <f t="shared" si="51"/>
        <v>12</v>
      </c>
      <c r="L33" s="73"/>
      <c r="M33" s="73" t="str">
        <f t="shared" si="36"/>
        <v>3</v>
      </c>
      <c r="N33" s="83" t="str">
        <f t="shared" si="37"/>
        <v>11</v>
      </c>
      <c r="O33" s="73"/>
      <c r="P33" s="73" t="str">
        <f t="shared" si="38"/>
        <v>2B</v>
      </c>
      <c r="Q33" s="84" t="str">
        <f t="shared" si="39"/>
        <v>3A</v>
      </c>
      <c r="R33" s="10"/>
      <c r="S33" s="8">
        <v>80</v>
      </c>
      <c r="T33" s="10"/>
      <c r="U33" s="1" t="str">
        <f t="shared" si="40"/>
        <v>AE</v>
      </c>
      <c r="V33" s="82" t="str">
        <f t="shared" si="10"/>
        <v>2E</v>
      </c>
      <c r="W33" s="73"/>
      <c r="X33" s="73" t="str">
        <f t="shared" si="41"/>
        <v>36</v>
      </c>
      <c r="Y33" s="83" t="str">
        <f t="shared" si="42"/>
        <v>18</v>
      </c>
      <c r="Z33" s="73"/>
      <c r="AA33" s="73" t="str">
        <f t="shared" si="43"/>
        <v>5B</v>
      </c>
      <c r="AB33" s="83" t="str">
        <f t="shared" si="44"/>
        <v>43</v>
      </c>
      <c r="AC33" s="73"/>
      <c r="AD33" s="73" t="str">
        <f t="shared" si="45"/>
        <v>32</v>
      </c>
      <c r="AE33" s="84" t="str">
        <f t="shared" si="46"/>
        <v>71</v>
      </c>
      <c r="BB33" s="75">
        <f t="shared" ref="BB33:BE33" si="65">IF(BIN2DEC(LEFT(HEX2BIN(BB40,8),1))=0,0,1)</f>
        <v>0</v>
      </c>
      <c r="BC33" s="75">
        <f t="shared" si="65"/>
        <v>1</v>
      </c>
      <c r="BD33" s="75">
        <f t="shared" si="65"/>
        <v>1</v>
      </c>
      <c r="BE33" s="75">
        <f t="shared" si="65"/>
        <v>1</v>
      </c>
      <c r="BF33" s="10"/>
      <c r="BG33" s="10"/>
      <c r="BH33" s="10"/>
      <c r="BI33" s="10"/>
      <c r="BJ33" s="10"/>
      <c r="BK33" s="10"/>
      <c r="BQ33" s="1">
        <v>0</v>
      </c>
      <c r="BR33" s="1">
        <v>1</v>
      </c>
      <c r="BS33" s="1">
        <v>1</v>
      </c>
      <c r="BT33" s="1">
        <v>1</v>
      </c>
    </row>
    <row r="34" spans="1:82" x14ac:dyDescent="0.25">
      <c r="A34" s="9" t="str">
        <f t="shared" ref="A34:A35" si="66">AE29</f>
        <v>F1</v>
      </c>
      <c r="B34" s="10"/>
      <c r="C34" s="8" t="s">
        <v>78</v>
      </c>
      <c r="D34" s="10"/>
      <c r="E34" s="8" t="str">
        <f t="shared" si="33"/>
        <v>33</v>
      </c>
      <c r="F34" s="10"/>
      <c r="G34" s="10"/>
      <c r="H34" s="82" t="str">
        <f t="shared" si="2"/>
        <v>92</v>
      </c>
      <c r="I34" s="73"/>
      <c r="J34" s="11" t="str">
        <f t="shared" si="34"/>
        <v>AD</v>
      </c>
      <c r="K34" s="83" t="str">
        <f t="shared" si="51"/>
        <v>3F</v>
      </c>
      <c r="L34" s="73"/>
      <c r="M34" s="73" t="str">
        <f t="shared" si="36"/>
        <v>A7</v>
      </c>
      <c r="N34" s="83" t="str">
        <f t="shared" si="37"/>
        <v>98</v>
      </c>
      <c r="O34" s="73"/>
      <c r="P34" s="73" t="str">
        <f t="shared" si="38"/>
        <v>85</v>
      </c>
      <c r="Q34" s="84" t="str">
        <f t="shared" si="39"/>
        <v>1D</v>
      </c>
      <c r="R34" s="10"/>
      <c r="S34" s="8" t="s">
        <v>151</v>
      </c>
      <c r="T34" s="10"/>
      <c r="U34" s="1" t="str">
        <f t="shared" si="40"/>
        <v>83</v>
      </c>
      <c r="V34" s="82" t="str">
        <f t="shared" si="10"/>
        <v>27</v>
      </c>
      <c r="W34" s="73"/>
      <c r="X34" s="73" t="str">
        <f t="shared" si="41"/>
        <v>F6</v>
      </c>
      <c r="Y34" s="83" t="str">
        <f t="shared" si="42"/>
        <v>D1</v>
      </c>
      <c r="Z34" s="73"/>
      <c r="AA34" s="73" t="str">
        <f t="shared" si="43"/>
        <v>F6</v>
      </c>
      <c r="AB34" s="83" t="str">
        <f t="shared" si="44"/>
        <v>27</v>
      </c>
      <c r="AC34" s="73"/>
      <c r="AD34" s="73" t="str">
        <f t="shared" si="45"/>
        <v>47</v>
      </c>
      <c r="AE34" s="84" t="str">
        <f t="shared" si="46"/>
        <v>60</v>
      </c>
      <c r="BB34" s="75">
        <f t="shared" ref="BB34:BE34" si="67">IF(BIN2DEC(LEFT(HEX2BIN(BB41,8),1))=0,0,1)</f>
        <v>1</v>
      </c>
      <c r="BC34" s="75">
        <f t="shared" si="67"/>
        <v>0</v>
      </c>
      <c r="BD34" s="75">
        <f t="shared" si="67"/>
        <v>0</v>
      </c>
      <c r="BE34" s="75">
        <f t="shared" si="67"/>
        <v>0</v>
      </c>
      <c r="BF34" s="10"/>
      <c r="BG34" s="10"/>
      <c r="BH34" s="10"/>
      <c r="BI34" s="10"/>
      <c r="BJ34" s="10"/>
      <c r="BK34" s="10"/>
    </row>
    <row r="35" spans="1:82" x14ac:dyDescent="0.25">
      <c r="A35" s="9" t="str">
        <f t="shared" si="66"/>
        <v>74</v>
      </c>
      <c r="B35" s="10"/>
      <c r="C35" s="8">
        <v>92</v>
      </c>
      <c r="D35" s="10"/>
      <c r="E35" s="8" t="str">
        <f t="shared" si="33"/>
        <v>44</v>
      </c>
      <c r="F35" s="10"/>
      <c r="G35" s="10"/>
      <c r="H35" s="82" t="str">
        <f t="shared" si="2"/>
        <v>D6</v>
      </c>
      <c r="I35" s="73"/>
      <c r="J35" s="11" t="str">
        <f t="shared" si="34"/>
        <v>56</v>
      </c>
      <c r="K35" s="83" t="str">
        <f t="shared" si="51"/>
        <v>80</v>
      </c>
      <c r="L35" s="73"/>
      <c r="M35" s="73" t="str">
        <f t="shared" si="36"/>
        <v>45</v>
      </c>
      <c r="N35" s="83" t="str">
        <f t="shared" si="37"/>
        <v>C5</v>
      </c>
      <c r="O35" s="73"/>
      <c r="P35" s="73" t="str">
        <f t="shared" si="38"/>
        <v>FB</v>
      </c>
      <c r="Q35" s="84" t="str">
        <f t="shared" si="39"/>
        <v>3E</v>
      </c>
      <c r="R35" s="10"/>
      <c r="S35" s="8" t="s">
        <v>201</v>
      </c>
      <c r="T35" s="10"/>
      <c r="U35" s="1" t="str">
        <f t="shared" si="40"/>
        <v>93</v>
      </c>
      <c r="V35" s="82" t="str">
        <f t="shared" si="10"/>
        <v>21</v>
      </c>
      <c r="W35" s="73"/>
      <c r="X35" s="73" t="str">
        <f t="shared" si="41"/>
        <v>41</v>
      </c>
      <c r="Y35" s="83" t="str">
        <f t="shared" si="42"/>
        <v>60</v>
      </c>
      <c r="Z35" s="73"/>
      <c r="AA35" s="73" t="str">
        <f t="shared" si="43"/>
        <v>5D</v>
      </c>
      <c r="AB35" s="83" t="str">
        <f t="shared" si="44"/>
        <v>3D</v>
      </c>
      <c r="AC35" s="73"/>
      <c r="AD35" s="73" t="str">
        <f t="shared" si="45"/>
        <v>F1</v>
      </c>
      <c r="AE35" s="84" t="str">
        <f t="shared" si="46"/>
        <v>CC</v>
      </c>
      <c r="BB35" s="75">
        <f t="shared" ref="BB35:BE35" si="68">IF(BIN2DEC(LEFT(HEX2BIN(BB42,8),1))=0,0,1)</f>
        <v>1</v>
      </c>
      <c r="BC35" s="75">
        <f t="shared" si="68"/>
        <v>1</v>
      </c>
      <c r="BD35" s="75">
        <f t="shared" si="68"/>
        <v>1</v>
      </c>
      <c r="BE35" s="75">
        <f t="shared" si="68"/>
        <v>0</v>
      </c>
      <c r="BF35" s="10"/>
      <c r="BG35" s="10"/>
      <c r="BH35" s="10"/>
      <c r="BI35" s="10"/>
      <c r="BJ35" s="10"/>
      <c r="BK35" s="10"/>
    </row>
    <row r="36" spans="1:82" ht="15.75" thickBot="1" x14ac:dyDescent="0.3">
      <c r="A36" s="9" t="str">
        <f>AE27</f>
        <v>32</v>
      </c>
      <c r="B36" s="10"/>
      <c r="C36" s="8">
        <v>23</v>
      </c>
      <c r="D36" s="10"/>
      <c r="E36" s="8" t="str">
        <f t="shared" si="33"/>
        <v>CB</v>
      </c>
      <c r="F36" s="10"/>
      <c r="G36" s="10"/>
      <c r="H36" s="85" t="str">
        <f t="shared" si="2"/>
        <v>E8</v>
      </c>
      <c r="I36" s="86"/>
      <c r="J36" s="87" t="str">
        <f t="shared" si="34"/>
        <v>4B</v>
      </c>
      <c r="K36" s="88" t="str">
        <f t="shared" si="51"/>
        <v>A3</v>
      </c>
      <c r="L36" s="86"/>
      <c r="M36" s="86" t="str">
        <f t="shared" si="36"/>
        <v>B2</v>
      </c>
      <c r="N36" s="88" t="str">
        <f t="shared" si="37"/>
        <v>11</v>
      </c>
      <c r="O36" s="86"/>
      <c r="P36" s="86" t="str">
        <f t="shared" si="38"/>
        <v>12</v>
      </c>
      <c r="Q36" s="89" t="str">
        <f t="shared" si="39"/>
        <v>3</v>
      </c>
      <c r="R36" s="10"/>
      <c r="S36" s="8" t="s">
        <v>116</v>
      </c>
      <c r="T36" s="10"/>
      <c r="U36" s="1" t="str">
        <f t="shared" si="40"/>
        <v>C8</v>
      </c>
      <c r="V36" s="85" t="str">
        <f t="shared" si="10"/>
        <v>B3</v>
      </c>
      <c r="W36" s="86"/>
      <c r="X36" s="86" t="str">
        <f t="shared" si="41"/>
        <v>12</v>
      </c>
      <c r="Y36" s="88" t="str">
        <f t="shared" si="42"/>
        <v>A1</v>
      </c>
      <c r="Z36" s="86"/>
      <c r="AA36" s="86" t="str">
        <f t="shared" si="43"/>
        <v>FC</v>
      </c>
      <c r="AB36" s="88" t="str">
        <f t="shared" si="44"/>
        <v>5D</v>
      </c>
      <c r="AC36" s="86"/>
      <c r="AD36" s="86" t="str">
        <f t="shared" si="45"/>
        <v>74</v>
      </c>
      <c r="AE36" s="89" t="str">
        <f t="shared" si="46"/>
        <v>29</v>
      </c>
      <c r="BF36" s="10"/>
      <c r="BG36" s="10"/>
      <c r="BH36" s="10"/>
      <c r="BI36" s="10"/>
      <c r="BJ36" s="10"/>
      <c r="BK36" t="str">
        <f>BQ37</f>
        <v>D4</v>
      </c>
      <c r="BL36" t="str">
        <f>DEC2HEX(_xlfn.BITXOR(BIN2DEC(RIGHT(HEX2BIN(BQ38,8)&amp;LEFT(HEX2BIN($A$1,8),1),8)),HEX2DEC($B$1)))</f>
        <v>65</v>
      </c>
      <c r="BM36" t="str">
        <f>DEC2HEX(_xlfn.BITXOR(BIN2DEC((RIGHT(HEX2BIN(BQ39,8)&amp;LEFT(HEX2BIN($A$1,8),1),8))),HEX2DEC(BQ39)),2)</f>
        <v>E7</v>
      </c>
      <c r="BN36">
        <f>BQ40</f>
        <v>30</v>
      </c>
      <c r="BQ36" s="57"/>
      <c r="BR36" s="57"/>
      <c r="BS36" s="57"/>
      <c r="BT36" s="57"/>
      <c r="BU36" s="57"/>
      <c r="BV36" s="57"/>
      <c r="BW36" s="57"/>
      <c r="BX36" s="58"/>
      <c r="BY36" s="57"/>
      <c r="BZ36" s="58"/>
      <c r="CA36" s="57"/>
      <c r="CB36" s="57"/>
      <c r="CC36" s="57"/>
      <c r="CD36" s="57"/>
    </row>
    <row r="37" spans="1:82" ht="15.75" thickBot="1" x14ac:dyDescent="0.3">
      <c r="A37" s="13"/>
      <c r="B37" s="13"/>
      <c r="D37" s="13"/>
      <c r="E37" s="13"/>
      <c r="F37" s="13"/>
      <c r="G37" s="13"/>
      <c r="H37" s="8"/>
      <c r="I37" s="11"/>
      <c r="J37" s="11"/>
      <c r="K37" s="11"/>
      <c r="L37" s="11"/>
      <c r="M37" s="11"/>
      <c r="N37" s="11"/>
      <c r="O37" s="11"/>
      <c r="P37" s="11"/>
      <c r="Q37" s="11"/>
      <c r="R37" s="13"/>
      <c r="T37" s="13"/>
      <c r="U37" s="8"/>
      <c r="V37" s="8"/>
      <c r="W37" s="11"/>
      <c r="X37" s="8"/>
      <c r="Y37" s="8"/>
      <c r="Z37" s="11"/>
      <c r="AA37" s="8"/>
      <c r="AB37" s="8"/>
      <c r="AC37" s="11"/>
      <c r="AD37" s="8"/>
      <c r="AE37" s="8"/>
      <c r="AW37" s="116" t="s">
        <v>218</v>
      </c>
      <c r="AX37" s="116"/>
      <c r="AY37" s="116"/>
      <c r="AZ37" s="116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Q37" s="57" t="s">
        <v>168</v>
      </c>
      <c r="BR37" s="57" t="s">
        <v>114</v>
      </c>
      <c r="BS37" s="57" t="s">
        <v>163</v>
      </c>
      <c r="BT37" s="57" t="s">
        <v>174</v>
      </c>
      <c r="BU37" s="57"/>
      <c r="BV37" s="59">
        <v>2</v>
      </c>
      <c r="BW37" s="59">
        <v>3</v>
      </c>
      <c r="BX37" s="59">
        <v>1</v>
      </c>
      <c r="BY37" s="59">
        <v>1</v>
      </c>
      <c r="BZ37" s="58"/>
      <c r="CA37" s="57" t="str">
        <f>DEC2HEX(_xlfn.BITXOR(_xlfn.BITXOR(_xlfn.BITXOR(HEX2DEC(IF(AND(BV37=3,BQ30=0),DEC2HEX(_xlfn.BITXOR(BIN2DEC((RIGHT(HEX2BIN(BQ37,8)&amp;LEFT(HEX2BIN($A$1,8),1),8))),HEX2DEC(BQ37)),2),IF(AND(BV37=2,BQ30=0),BIN2HEX(RIGHT(HEX2BIN(BQ37,8)&amp;LEFT(HEX2BIN($A$1,8),1),8)),IF(AND(BV37=2,BQ30=1),DEC2HEX(_xlfn.BITXOR(BIN2DEC(RIGHT(HEX2BIN(BQ37,8)&amp;LEFT(HEX2BIN($A$1,8),1),8)),HEX2DEC($B$1))),IF(AND(BV37=3,BQ30=1),DEC2HEX(_xlfn.BITXOR(_xlfn.BITXOR(BIN2DEC(RIGHT(HEX2BIN(BQ37,8)&amp;LEFT(HEX2BIN($A$1,8),1),8)),HEX2DEC($B$1)),HEX2DEC(BQ37))),BQ37))))),HEX2DEC(IF(AND(BW37=3,BQ31=0),DEC2HEX(_xlfn.BITXOR(BIN2DEC((RIGHT(HEX2BIN(BQ38,8)&amp;LEFT(HEX2BIN($A$1,8),1),8))),HEX2DEC(BQ38)),2),IF(AND(BW37=2,BQ31=0),BIN2HEX(RIGHT(HEX2BIN(BQ38,8)&amp;LEFT(HEX2BIN($A$1,8),1),8)),IF(AND(BW37=2,BQ31=1),DEC2HEX(_xlfn.BITXOR(BIN2DEC(RIGHT(HEX2BIN(BQ38,8)&amp;LEFT(HEX2BIN($A$1,8),1),8)),HEX2DEC($B$1))),IF(AND(BW37=3,BQ31=1),DEC2HEX(_xlfn.BITXOR(_xlfn.BITXOR(BIN2DEC(RIGHT(HEX2BIN(BQ38,8)&amp;LEFT(HEX2BIN($A$1,8),1),8)),HEX2DEC($B$1)),HEX2DEC(BQ38))),BQ38)))))),HEX2DEC(IF(AND(BX37=3,BQ32=0),DEC2HEX(_xlfn.BITXOR(BIN2DEC((RIGHT(HEX2BIN(BQ39,8)&amp;LEFT(HEX2BIN($A$1,8),1),8))),HEX2DEC(BQ39)),2),IF(AND(BX37=2,BQ32=0),BIN2HEX(RIGHT(HEX2BIN(BQ39,8)&amp;LEFT(HEX2BIN($A$1,8),1),8)),IF(AND(BX37=2,BQ32=1),DEC2HEX(_xlfn.BITXOR(BIN2DEC(RIGHT(HEX2BIN(BQ39,8)&amp;LEFT(HEX2BIN($A$1,8),1),8)),HEX2DEC($B$1))),IF(AND(BX37=3,BQ32=1),DEC2HEX(_xlfn.BITXOR(_xlfn.BITXOR(BIN2DEC(RIGHT(HEX2BIN(BQ39,8)&amp;LEFT(HEX2BIN($A$1,8),1),8)),HEX2DEC($B$1)),HEX2DEC(BQ39))),BQ39)))))),HEX2DEC(IF(AND(BY37=3,BQ33=0),DEC2HEX(_xlfn.BITXOR(BIN2DEC((RIGHT(HEX2BIN(BQ40,8)&amp;LEFT(HEX2BIN($A$1,8),1),8))),HEX2DEC(BQ40)),2),IF(AND(BY37=2,BQ33=0),BIN2HEX(RIGHT(HEX2BIN(BQ40,8)&amp;LEFT(HEX2BIN($A$1,8),1),8)),IF(AND(BY37=2,BQ33=1),DEC2HEX(_xlfn.BITXOR(BIN2DEC(RIGHT(HEX2BIN(BQ40,8)&amp;LEFT(HEX2BIN($A$1,8),1),8)),HEX2DEC($B$1))),IF(AND(BY37=3,BQ33=1),DEC2HEX(_xlfn.BITXOR(_xlfn.BITXOR(BIN2DEC(RIGHT(HEX2BIN(BQ40,8)&amp;LEFT(HEX2BIN($A$1,8),1),8)),HEX2DEC($B$1)),HEX2DEC(BQ40))),BQ40)))))))</f>
        <v>4</v>
      </c>
      <c r="CB37" s="57" t="str">
        <f>DEC2HEX(_xlfn.BITXOR(_xlfn.BITXOR(_xlfn.BITXOR(HEX2DEC(IF(AND(BV37=3,BR30=0),DEC2HEX(_xlfn.BITXOR(BIN2DEC((RIGHT(HEX2BIN(BR37,8)&amp;LEFT(HEX2BIN($A$1,8),1),8))),HEX2DEC(BR37)),2),IF(AND(BV37=2,BR30=0),BIN2HEX(RIGHT(HEX2BIN(BR37,8)&amp;LEFT(HEX2BIN($A$1,8),1),8)),IF(AND(BV37=2,BR30=1),DEC2HEX(_xlfn.BITXOR(BIN2DEC(RIGHT(HEX2BIN(BR37,8)&amp;LEFT(HEX2BIN($A$1,8),1),8)),HEX2DEC($B$1))),IF(AND(BV37=3,BR30=1),DEC2HEX(_xlfn.BITXOR(_xlfn.BITXOR(BIN2DEC(RIGHT(HEX2BIN(BR37,8)&amp;LEFT(HEX2BIN($A$1,8),1),8)),HEX2DEC($B$1)),HEX2DEC(BR37))),BR37))))),HEX2DEC(IF(AND(BW37=3,BR31=0),DEC2HEX(_xlfn.BITXOR(BIN2DEC((RIGHT(HEX2BIN(BR38,8)&amp;LEFT(HEX2BIN($A$1,8),1),8))),HEX2DEC(BR38)),2),IF(AND(BW37=2,BR31=0),BIN2HEX(RIGHT(HEX2BIN(BR38,8)&amp;LEFT(HEX2BIN($A$1,8),1),8)),IF(AND(BW37=2,BR31=1),DEC2HEX(_xlfn.BITXOR(BIN2DEC(RIGHT(HEX2BIN(BR38,8)&amp;LEFT(HEX2BIN($A$1,8),1),8)),HEX2DEC($B$1))),IF(AND(BW37=3,BR31=1),DEC2HEX(_xlfn.BITXOR(_xlfn.BITXOR(BIN2DEC(RIGHT(HEX2BIN(BR38,8)&amp;LEFT(HEX2BIN($A$1,8),1),8)),HEX2DEC($B$1)),HEX2DEC(BR38))),BR38)))))),HEX2DEC(IF(AND(BX37=3,BR32=0),DEC2HEX(_xlfn.BITXOR(BIN2DEC((RIGHT(HEX2BIN(BR39,8)&amp;LEFT(HEX2BIN($A$1,8),1),8))),HEX2DEC(BR39)),2),IF(AND(BX37=2,BR32=0),BIN2HEX(RIGHT(HEX2BIN(BR39,8)&amp;LEFT(HEX2BIN($A$1,8),1),8)),IF(AND(BX37=2,BR32=1),DEC2HEX(_xlfn.BITXOR(BIN2DEC(RIGHT(HEX2BIN(BR39,8)&amp;LEFT(HEX2BIN($A$1,8),1),8)),HEX2DEC($B$1))),IF(AND(BX37=3,BR32=1),DEC2HEX(_xlfn.BITXOR(_xlfn.BITXOR(BIN2DEC(RIGHT(HEX2BIN(BR39,8)&amp;LEFT(HEX2BIN($A$1,8),1),8)),HEX2DEC($B$1)),HEX2DEC(BR39))),BR39)))))),HEX2DEC(IF(AND(BY37=3,BR33=0),DEC2HEX(_xlfn.BITXOR(BIN2DEC((RIGHT(HEX2BIN(BR40,8)&amp;LEFT(HEX2BIN($A$1,8),1),8))),HEX2DEC(BR40)),2),IF(AND(BY37=2,BR33=0),BIN2HEX(RIGHT(HEX2BIN(BR40,8)&amp;LEFT(HEX2BIN($A$1,8),1),8)),IF(AND(BY37=2,BR33=1),DEC2HEX(_xlfn.BITXOR(BIN2DEC(RIGHT(HEX2BIN(BR40,8)&amp;LEFT(HEX2BIN($A$1,8),1),8)),HEX2DEC($B$1))),IF(AND(BY37=3,BR33=1),DEC2HEX(_xlfn.BITXOR(_xlfn.BITXOR(BIN2DEC(RIGHT(HEX2BIN(BR40,8)&amp;LEFT(HEX2BIN($A$1,8),1),8)),HEX2DEC($B$1)),HEX2DEC(BR40))),BR40)))))))</f>
        <v>E0</v>
      </c>
      <c r="CC37" s="59" t="str">
        <f>DEC2HEX(_xlfn.BITXOR(_xlfn.BITXOR(_xlfn.BITXOR(HEX2DEC(IF(AND(BV37=3,BS30=0),DEC2HEX(_xlfn.BITXOR(BIN2DEC((RIGHT(HEX2BIN(BS37,8)&amp;LEFT(HEX2BIN($A$1,8),1),8))),HEX2DEC(BS37)),2),IF(AND(BV37=2,BS30=0),BIN2HEX(RIGHT(HEX2BIN(BS37,8)&amp;LEFT(HEX2BIN($A$1,8),1),8)),IF(AND(BV37=2,BS30=1),DEC2HEX(_xlfn.BITXOR(BIN2DEC(RIGHT(HEX2BIN(BS37,8)&amp;LEFT(HEX2BIN($A$1,8),1),8)),HEX2DEC($B$1))),IF(AND(BV37=3,BS30=1),DEC2HEX(_xlfn.BITXOR(_xlfn.BITXOR(BIN2DEC(RIGHT(HEX2BIN(BS37,8)&amp;LEFT(HEX2BIN($A$1,8),1),8)),HEX2DEC($B$1)),HEX2DEC(BS37))),BS37))))),HEX2DEC(IF(AND(BW37=3,BS31=0),DEC2HEX(_xlfn.BITXOR(BIN2DEC((RIGHT(HEX2BIN(BS38,8)&amp;LEFT(HEX2BIN($A$1,8),1),8))),HEX2DEC(BS38)),2),IF(AND(BW37=2,BS31=0),BIN2HEX(RIGHT(HEX2BIN(BS38,8)&amp;LEFT(HEX2BIN($A$1,8),1),8)),IF(AND(BW37=2,BS31=1),DEC2HEX(_xlfn.BITXOR(BIN2DEC(RIGHT(HEX2BIN(BS38,8)&amp;LEFT(HEX2BIN($A$1,8),1),8)),HEX2DEC($B$1))),IF(AND(BW37=3,BS31=1),DEC2HEX(_xlfn.BITXOR(_xlfn.BITXOR(BIN2DEC(RIGHT(HEX2BIN(BS38,8)&amp;LEFT(HEX2BIN($A$1,8),1),8)),HEX2DEC($B$1)),HEX2DEC(BS38))),BS38)))))),HEX2DEC(IF(AND(BX37=3,BS32=0),DEC2HEX(_xlfn.BITXOR(BIN2DEC((RIGHT(HEX2BIN(BS39,8)&amp;LEFT(HEX2BIN($A$1,8),1),8))),HEX2DEC(BS39)),2),IF(AND(BX37=2,BS32=0),BIN2HEX(RIGHT(HEX2BIN(BS39,8)&amp;LEFT(HEX2BIN($A$1,8),1),8)),IF(AND(BX37=2,BS32=1),DEC2HEX(_xlfn.BITXOR(BIN2DEC(RIGHT(HEX2BIN(BS39,8)&amp;LEFT(HEX2BIN($A$1,8),1),8)),HEX2DEC($B$1))),IF(AND(BX37=3,BS32=1),DEC2HEX(_xlfn.BITXOR(_xlfn.BITXOR(BIN2DEC(RIGHT(HEX2BIN(BS39,8)&amp;LEFT(HEX2BIN($A$1,8),1),8)),HEX2DEC($B$1)),HEX2DEC(BS39))),BS39)))))),HEX2DEC(IF(AND(BY37=3,BS33=0),DEC2HEX(_xlfn.BITXOR(BIN2DEC((RIGHT(HEX2BIN(BS40,8)&amp;LEFT(HEX2BIN($A$1,8),1),8))),HEX2DEC(BS40)),2),IF(AND(BY37=2,BS33=0),BIN2HEX(RIGHT(HEX2BIN(BS40,8)&amp;LEFT(HEX2BIN($A$1,8),1),8)),IF(AND(BY37=2,BS33=1),DEC2HEX(_xlfn.BITXOR(BIN2DEC(RIGHT(HEX2BIN(BS40,8)&amp;LEFT(HEX2BIN($A$1,8),1),8)),HEX2DEC($B$1))),IF(AND(BY37=3,BS33=1),DEC2HEX(_xlfn.BITXOR(_xlfn.BITXOR(BIN2DEC(RIGHT(HEX2BIN(BS40,8)&amp;LEFT(HEX2BIN($A$1,8),1),8)),HEX2DEC($B$1)),HEX2DEC(BS40))),BS40)))))))</f>
        <v>48</v>
      </c>
      <c r="CD37" s="57" t="str">
        <f>DEC2HEX(_xlfn.BITXOR(_xlfn.BITXOR(_xlfn.BITXOR(HEX2DEC(IF(AND(BV37=3,BT30=0),DEC2HEX(_xlfn.BITXOR(BIN2DEC((RIGHT(HEX2BIN(BT37,8)&amp;LEFT(HEX2BIN($A$1,8),1),8))),HEX2DEC(BT37)),2),IF(AND(BV37=2,BT30=0),BIN2HEX(RIGHT(HEX2BIN(BT37,8)&amp;LEFT(HEX2BIN($A$1,8),1),8)),IF(AND(BV37=2,BT30=1),DEC2HEX(_xlfn.BITXOR(BIN2DEC(RIGHT(HEX2BIN(BT37,8)&amp;LEFT(HEX2BIN($A$1,8),1),8)),HEX2DEC($B$1))),IF(AND(BV37=3,BT30=1),DEC2HEX(_xlfn.BITXOR(_xlfn.BITXOR(BIN2DEC(RIGHT(HEX2BIN(BT37,8)&amp;LEFT(HEX2BIN($A$1,8),1),8)),HEX2DEC($B$1)),HEX2DEC(BT37))),BT37))))),HEX2DEC(IF(AND(BW37=3,BT31=0),DEC2HEX(_xlfn.BITXOR(BIN2DEC((RIGHT(HEX2BIN(BT38,8)&amp;LEFT(HEX2BIN($A$1,8),1),8))),HEX2DEC(BT38)),2),IF(AND(BW37=2,BT31=0),BIN2HEX(RIGHT(HEX2BIN(BT38,8)&amp;LEFT(HEX2BIN($A$1,8),1),8)),IF(AND(BW37=2,BT31=1),DEC2HEX(_xlfn.BITXOR(BIN2DEC(RIGHT(HEX2BIN(BT38,8)&amp;LEFT(HEX2BIN($A$1,8),1),8)),HEX2DEC($B$1))),IF(AND(BW37=3,BT31=1),DEC2HEX(_xlfn.BITXOR(_xlfn.BITXOR(BIN2DEC(RIGHT(HEX2BIN(BT38,8)&amp;LEFT(HEX2BIN($A$1,8),1),8)),HEX2DEC($B$1)),HEX2DEC(BT38))),BT38)))))),HEX2DEC(IF(AND(BX37=3,BT32=0),DEC2HEX(_xlfn.BITXOR(BIN2DEC((RIGHT(HEX2BIN(BT39,8)&amp;LEFT(HEX2BIN($A$1,8),1),8))),HEX2DEC(BT39)),2),IF(AND(BX37=2,BT32=0),BIN2HEX(RIGHT(HEX2BIN(BT39,8)&amp;LEFT(HEX2BIN($A$1,8),1),8)),IF(AND(BX37=2,BT32=1),DEC2HEX(_xlfn.BITXOR(BIN2DEC(RIGHT(HEX2BIN(BT39,8)&amp;LEFT(HEX2BIN($A$1,8),1),8)),HEX2DEC($B$1))),IF(AND(BX37=3,BT32=1),DEC2HEX(_xlfn.BITXOR(_xlfn.BITXOR(BIN2DEC(RIGHT(HEX2BIN(BT39,8)&amp;LEFT(HEX2BIN($A$1,8),1),8)),HEX2DEC($B$1)),HEX2DEC(BT39))),BT39)))))),HEX2DEC(IF(AND(BY37=3,BT33=0),DEC2HEX(_xlfn.BITXOR(BIN2DEC((RIGHT(HEX2BIN(BT40,8)&amp;LEFT(HEX2BIN($A$1,8),1),8))),HEX2DEC(BT40)),2),IF(AND(BY37=2,BT33=0),BIN2HEX(RIGHT(HEX2BIN(BT40,8)&amp;LEFT(HEX2BIN($A$1,8),1),8)),IF(AND(BY37=2,BT33=1),DEC2HEX(_xlfn.BITXOR(BIN2DEC(RIGHT(HEX2BIN(BT40,8)&amp;LEFT(HEX2BIN($A$1,8),1),8)),HEX2DEC($B$1))),IF(AND(BY37=3,BT33=1),DEC2HEX(_xlfn.BITXOR(_xlfn.BITXOR(BIN2DEC(RIGHT(HEX2BIN(BT40,8)&amp;LEFT(HEX2BIN($A$1,8),1),8)),HEX2DEC($B$1)),HEX2DEC(BT40))),BT40)))))))</f>
        <v>28</v>
      </c>
    </row>
    <row r="38" spans="1:82" x14ac:dyDescent="0.25">
      <c r="A38" s="12"/>
      <c r="B38" s="12"/>
      <c r="D38" s="12"/>
      <c r="E38" s="12"/>
      <c r="F38" s="12"/>
      <c r="G38" s="12"/>
      <c r="H38" s="105">
        <v>5</v>
      </c>
      <c r="I38" s="113"/>
      <c r="J38" s="113"/>
      <c r="K38" s="113">
        <v>6</v>
      </c>
      <c r="L38" s="113"/>
      <c r="M38" s="113"/>
      <c r="N38" s="113">
        <v>7</v>
      </c>
      <c r="O38" s="113"/>
      <c r="P38" s="113"/>
      <c r="Q38" s="114">
        <v>8</v>
      </c>
      <c r="R38" s="11"/>
      <c r="S38" s="8">
        <v>30</v>
      </c>
      <c r="T38" s="11"/>
      <c r="U38" s="8"/>
      <c r="V38" s="8"/>
      <c r="W38" s="11"/>
      <c r="X38" s="8"/>
      <c r="Y38" s="8"/>
      <c r="Z38" s="11"/>
      <c r="AA38" s="8"/>
      <c r="AB38" s="8"/>
      <c r="AC38" s="11"/>
      <c r="AD38" s="8"/>
      <c r="AE38" s="8"/>
      <c r="AH38" s="116" t="s">
        <v>245</v>
      </c>
      <c r="AI38" s="116"/>
      <c r="AJ38" s="116"/>
      <c r="AK38" s="116"/>
      <c r="AR38" s="116" t="s">
        <v>210</v>
      </c>
      <c r="AS38" s="116"/>
      <c r="AT38" s="116"/>
      <c r="AU38" s="116"/>
      <c r="AW38" s="116" t="s">
        <v>211</v>
      </c>
      <c r="AX38" s="116"/>
      <c r="AY38" s="116"/>
      <c r="AZ38" s="116"/>
      <c r="BB38" s="118" t="s">
        <v>212</v>
      </c>
      <c r="BC38" s="118"/>
      <c r="BD38" s="118"/>
      <c r="BE38" s="118"/>
      <c r="BF38" s="10"/>
      <c r="BG38" s="10"/>
      <c r="BH38" s="10"/>
      <c r="BI38" s="10"/>
      <c r="BJ38" s="10"/>
      <c r="BK38" s="10"/>
      <c r="BL38" s="116" t="s">
        <v>214</v>
      </c>
      <c r="BM38" s="116"/>
      <c r="BN38" s="116"/>
      <c r="BO38" s="116"/>
      <c r="BQ38" s="57" t="s">
        <v>102</v>
      </c>
      <c r="BR38" s="57" t="s">
        <v>144</v>
      </c>
      <c r="BS38" s="57">
        <v>41</v>
      </c>
      <c r="BT38" s="57">
        <v>27</v>
      </c>
      <c r="BU38" s="57"/>
      <c r="BV38" s="60">
        <v>1</v>
      </c>
      <c r="BW38" s="61">
        <v>2</v>
      </c>
      <c r="BX38" s="61">
        <v>3</v>
      </c>
      <c r="BY38" s="62">
        <v>1</v>
      </c>
      <c r="BZ38" s="58"/>
      <c r="CA38" s="57" t="str">
        <f>DEC2HEX(_xlfn.BITXOR(_xlfn.BITXOR(_xlfn.BITXOR(HEX2DEC(IF(AND(BV38=3,BQ30=0),DEC2HEX(_xlfn.BITXOR(BIN2DEC((RIGHT(HEX2BIN(BQ37,8)&amp;LEFT(HEX2BIN($A$1,8),1),8))),HEX2DEC(BQ37)),2),IF(AND(BV38=2,BQ30=0),BIN2HEX(RIGHT(HEX2BIN(BQ37,8)&amp;LEFT(HEX2BIN($A$1,8),1),8)),IF(AND(BV38=2,BQ30=1),DEC2HEX(_xlfn.BITXOR(BIN2DEC(RIGHT(HEX2BIN(BQ37,8)&amp;LEFT(HEX2BIN($A$1,8),1),8)),HEX2DEC($B$1))),IF(AND(BV38=3,BQ30=1),DEC2HEX(_xlfn.BITXOR(_xlfn.BITXOR(BIN2DEC(RIGHT(HEX2BIN(BQ37,8)&amp;LEFT(HEX2BIN($A$1,8),1),8)),HEX2DEC($B$1)),HEX2DEC(BQ37))),BQ37))))),HEX2DEC(IF(AND(BW38=3,BQ31=0),DEC2HEX(_xlfn.BITXOR(BIN2DEC((RIGHT(HEX2BIN(BQ38,8)&amp;LEFT(HEX2BIN($A$1,8),1),8))),HEX2DEC(BQ38)),2),IF(AND(BW38=2,BQ31=0),BIN2HEX(RIGHT(HEX2BIN(BQ38,8)&amp;LEFT(HEX2BIN($A$1,8),1),8)),IF(AND(BW38=2,BQ31=1),DEC2HEX(_xlfn.BITXOR(BIN2DEC(RIGHT(HEX2BIN(BQ38,8)&amp;LEFT(HEX2BIN($A$1,8),1),8)),HEX2DEC($B$1))),IF(AND(BW38=3,BQ31=1),DEC2HEX(_xlfn.BITXOR(_xlfn.BITXOR(BIN2DEC(RIGHT(HEX2BIN(BQ38,8)&amp;LEFT(HEX2BIN($A$1,8),1),8)),HEX2DEC($B$1)),HEX2DEC(BQ38))),BQ38)))))),HEX2DEC(IF(AND(BX38=3,BQ32=0),DEC2HEX(_xlfn.BITXOR(BIN2DEC((RIGHT(HEX2BIN(BQ39,8)&amp;LEFT(HEX2BIN($A$1,8),1),8))),HEX2DEC(BQ39)),2),IF(AND(BX38=2,BQ32=0),BIN2HEX(RIGHT(HEX2BIN(BQ39,8)&amp;LEFT(HEX2BIN($A$1,8),1),8)),IF(AND(BX38=2,BQ32=1),DEC2HEX(_xlfn.BITXOR(BIN2DEC(RIGHT(HEX2BIN(BQ39,8)&amp;LEFT(HEX2BIN($A$1,8),1),8)),HEX2DEC($B$1))),IF(AND(BX38=3,BQ32=1),DEC2HEX(_xlfn.BITXOR(_xlfn.BITXOR(BIN2DEC(RIGHT(HEX2BIN(BQ39,8)&amp;LEFT(HEX2BIN($A$1,8),1),8)),HEX2DEC($B$1)),HEX2DEC(BQ39))),BQ39)))))),HEX2DEC(IF(AND(BY38=3,BQ33=0),DEC2HEX(_xlfn.BITXOR(BIN2DEC((RIGHT(HEX2BIN(BQ40,8)&amp;LEFT(HEX2BIN($A$1,8),1),8))),HEX2DEC(BQ40)),2),IF(AND(BY38=2,BQ33=0),BIN2HEX(RIGHT(HEX2BIN(BQ40,8)&amp;LEFT(HEX2BIN($A$1,8),1),8)),IF(AND(BY38=2,BQ33=1),DEC2HEX(_xlfn.BITXOR(BIN2DEC(RIGHT(HEX2BIN(BQ40,8)&amp;LEFT(HEX2BIN($A$1,8),1),8)),HEX2DEC($B$1))),IF(AND(BY38=3,BQ33=1),DEC2HEX(_xlfn.BITXOR(_xlfn.BITXOR(BIN2DEC(RIGHT(HEX2BIN(BQ40,8)&amp;LEFT(HEX2BIN($A$1,8),1),8)),HEX2DEC($B$1)),HEX2DEC(BQ40))),BQ40)))))))</f>
        <v>66</v>
      </c>
      <c r="CB38" s="57" t="str">
        <f>DEC2HEX(_xlfn.BITXOR(_xlfn.BITXOR(_xlfn.BITXOR(HEX2DEC(IF(AND(BV38=3,BR30=0),DEC2HEX(_xlfn.BITXOR(BIN2DEC((RIGHT(HEX2BIN(BR37,8)&amp;LEFT(HEX2BIN($A$1,8),1),8))),HEX2DEC(BR37)),2),IF(AND(BV38=2,BR30=0),BIN2HEX(RIGHT(HEX2BIN(BR37,8)&amp;LEFT(HEX2BIN($A$1,8),1),8)),IF(AND(BV38=2,BR30=1),DEC2HEX(_xlfn.BITXOR(BIN2DEC(RIGHT(HEX2BIN(BR37,8)&amp;LEFT(HEX2BIN($A$1,8),1),8)),HEX2DEC($B$1))),IF(AND(BV38=3,BR30=1),DEC2HEX(_xlfn.BITXOR(_xlfn.BITXOR(BIN2DEC(RIGHT(HEX2BIN(BR37,8)&amp;LEFT(HEX2BIN($A$1,8),1),8)),HEX2DEC($B$1)),HEX2DEC(BR37))),BR37))))),HEX2DEC(IF(AND(BW38=3,BR31=0),DEC2HEX(_xlfn.BITXOR(BIN2DEC((RIGHT(HEX2BIN(BR38,8)&amp;LEFT(HEX2BIN($A$1,8),1),8))),HEX2DEC(BR38)),2),IF(AND(BW38=2,BR31=0),BIN2HEX(RIGHT(HEX2BIN(BR38,8)&amp;LEFT(HEX2BIN($A$1,8),1),8)),IF(AND(BW38=2,BR31=1),DEC2HEX(_xlfn.BITXOR(BIN2DEC(RIGHT(HEX2BIN(BR38,8)&amp;LEFT(HEX2BIN($A$1,8),1),8)),HEX2DEC($B$1))),IF(AND(BW38=3,BR31=1),DEC2HEX(_xlfn.BITXOR(_xlfn.BITXOR(BIN2DEC(RIGHT(HEX2BIN(BR38,8)&amp;LEFT(HEX2BIN($A$1,8),1),8)),HEX2DEC($B$1)),HEX2DEC(BR38))),BR38)))))),HEX2DEC(IF(AND(BX38=3,BR32=0),DEC2HEX(_xlfn.BITXOR(BIN2DEC((RIGHT(HEX2BIN(BR39,8)&amp;LEFT(HEX2BIN($A$1,8),1),8))),HEX2DEC(BR39)),2),IF(AND(BX38=2,BR32=0),BIN2HEX(RIGHT(HEX2BIN(BR39,8)&amp;LEFT(HEX2BIN($A$1,8),1),8)),IF(AND(BX38=2,BR32=1),DEC2HEX(_xlfn.BITXOR(BIN2DEC(RIGHT(HEX2BIN(BR39,8)&amp;LEFT(HEX2BIN($A$1,8),1),8)),HEX2DEC($B$1))),IF(AND(BX38=3,BR32=1),DEC2HEX(_xlfn.BITXOR(_xlfn.BITXOR(BIN2DEC(RIGHT(HEX2BIN(BR39,8)&amp;LEFT(HEX2BIN($A$1,8),1),8)),HEX2DEC($B$1)),HEX2DEC(BR39))),BR39)))))),HEX2DEC(IF(AND(BY38=3,BR33=0),DEC2HEX(_xlfn.BITXOR(BIN2DEC((RIGHT(HEX2BIN(BR40,8)&amp;LEFT(HEX2BIN($A$1,8),1),8))),HEX2DEC(BR40)),2),IF(AND(BY38=2,BR33=0),BIN2HEX(RIGHT(HEX2BIN(BR40,8)&amp;LEFT(HEX2BIN($A$1,8),1),8)),IF(AND(BY38=2,BR33=1),DEC2HEX(_xlfn.BITXOR(BIN2DEC(RIGHT(HEX2BIN(BR40,8)&amp;LEFT(HEX2BIN($A$1,8),1),8)),HEX2DEC($B$1))),IF(AND(BY38=3,BR33=1),DEC2HEX(_xlfn.BITXOR(_xlfn.BITXOR(BIN2DEC(RIGHT(HEX2BIN(BR40,8)&amp;LEFT(HEX2BIN($A$1,8),1),8)),HEX2DEC($B$1)),HEX2DEC(BR40))),BR40)))))))</f>
        <v>CB</v>
      </c>
      <c r="CC38" s="57" t="str">
        <f>DEC2HEX(_xlfn.BITXOR(_xlfn.BITXOR(_xlfn.BITXOR(HEX2DEC(IF(AND(BV38=3,BS30=0),DEC2HEX(_xlfn.BITXOR(BIN2DEC((RIGHT(HEX2BIN(BS37,8)&amp;LEFT(HEX2BIN($A$1,8),1),8))),HEX2DEC(BS37)),2),IF(AND(BV38=2,BS30=0),BIN2HEX(RIGHT(HEX2BIN(BS37,8)&amp;LEFT(HEX2BIN($A$1,8),1),8)),IF(AND(BV38=2,BS30=1),DEC2HEX(_xlfn.BITXOR(BIN2DEC(RIGHT(HEX2BIN(BS37,8)&amp;LEFT(HEX2BIN($A$1,8),1),8)),HEX2DEC($B$1))),IF(AND(BV38=3,BS30=1),DEC2HEX(_xlfn.BITXOR(_xlfn.BITXOR(BIN2DEC(RIGHT(HEX2BIN(BS37,8)&amp;LEFT(HEX2BIN($A$1,8),1),8)),HEX2DEC($B$1)),HEX2DEC(BS37))),BS37))))),HEX2DEC(IF(AND(BW38=3,BS31=0),DEC2HEX(_xlfn.BITXOR(BIN2DEC((RIGHT(HEX2BIN(BS38,8)&amp;LEFT(HEX2BIN($A$1,8),1),8))),HEX2DEC(BS38)),2),IF(AND(BW38=2,BS31=0),BIN2HEX(RIGHT(HEX2BIN(BS38,8)&amp;LEFT(HEX2BIN($A$1,8),1),8)),IF(AND(BW38=2,BS31=1),DEC2HEX(_xlfn.BITXOR(BIN2DEC(RIGHT(HEX2BIN(BS38,8)&amp;LEFT(HEX2BIN($A$1,8),1),8)),HEX2DEC($B$1))),IF(AND(BW38=3,BS31=1),DEC2HEX(_xlfn.BITXOR(_xlfn.BITXOR(BIN2DEC(RIGHT(HEX2BIN(BS38,8)&amp;LEFT(HEX2BIN($A$1,8),1),8)),HEX2DEC($B$1)),HEX2DEC(BS38))),BS38)))))),HEX2DEC(IF(AND(BX38=3,BS32=0),DEC2HEX(_xlfn.BITXOR(BIN2DEC((RIGHT(HEX2BIN(BS39,8)&amp;LEFT(HEX2BIN($A$1,8),1),8))),HEX2DEC(BS39)),2),IF(AND(BX38=2,BS32=0),BIN2HEX(RIGHT(HEX2BIN(BS39,8)&amp;LEFT(HEX2BIN($A$1,8),1),8)),IF(AND(BX38=2,BS32=1),DEC2HEX(_xlfn.BITXOR(BIN2DEC(RIGHT(HEX2BIN(BS39,8)&amp;LEFT(HEX2BIN($A$1,8),1),8)),HEX2DEC($B$1))),IF(AND(BX38=3,BS32=1),DEC2HEX(_xlfn.BITXOR(_xlfn.BITXOR(BIN2DEC(RIGHT(HEX2BIN(BS39,8)&amp;LEFT(HEX2BIN($A$1,8),1),8)),HEX2DEC($B$1)),HEX2DEC(BS39))),BS39)))))),HEX2DEC(IF(AND(BY38=3,BS33=0),DEC2HEX(_xlfn.BITXOR(BIN2DEC((RIGHT(HEX2BIN(BS40,8)&amp;LEFT(HEX2BIN($A$1,8),1),8))),HEX2DEC(BS40)),2),IF(AND(BY38=2,BS33=0),BIN2HEX(RIGHT(HEX2BIN(BS40,8)&amp;LEFT(HEX2BIN($A$1,8),1),8)),IF(AND(BY38=2,BS33=1),DEC2HEX(_xlfn.BITXOR(BIN2DEC(RIGHT(HEX2BIN(BS40,8)&amp;LEFT(HEX2BIN($A$1,8),1),8)),HEX2DEC($B$1))),IF(AND(BY38=3,BS33=1),DEC2HEX(_xlfn.BITXOR(_xlfn.BITXOR(BIN2DEC(RIGHT(HEX2BIN(BS40,8)&amp;LEFT(HEX2BIN($A$1,8),1),8)),HEX2DEC($B$1)),HEX2DEC(BS40))),BS40)))))))</f>
        <v>F8</v>
      </c>
      <c r="CD38" s="57" t="str">
        <f>DEC2HEX(_xlfn.BITXOR(_xlfn.BITXOR(_xlfn.BITXOR(HEX2DEC(IF(AND(BV38=3,BT30=0),DEC2HEX(_xlfn.BITXOR(BIN2DEC((RIGHT(HEX2BIN(BT37,8)&amp;LEFT(HEX2BIN($A$1,8),1),8))),HEX2DEC(BT37)),2),IF(AND(BV38=2,BT30=0),BIN2HEX(RIGHT(HEX2BIN(BT37,8)&amp;LEFT(HEX2BIN($A$1,8),1),8)),IF(AND(BV38=2,BT30=1),DEC2HEX(_xlfn.BITXOR(BIN2DEC(RIGHT(HEX2BIN(BT37,8)&amp;LEFT(HEX2BIN($A$1,8),1),8)),HEX2DEC($B$1))),IF(AND(BV38=3,BT30=1),DEC2HEX(_xlfn.BITXOR(_xlfn.BITXOR(BIN2DEC(RIGHT(HEX2BIN(BT37,8)&amp;LEFT(HEX2BIN($A$1,8),1),8)),HEX2DEC($B$1)),HEX2DEC(BT37))),BT37))))),HEX2DEC(IF(AND(BW38=3,BT31=0),DEC2HEX(_xlfn.BITXOR(BIN2DEC((RIGHT(HEX2BIN(BT38,8)&amp;LEFT(HEX2BIN($A$1,8),1),8))),HEX2DEC(BT38)),2),IF(AND(BW38=2,BT31=0),BIN2HEX(RIGHT(HEX2BIN(BT38,8)&amp;LEFT(HEX2BIN($A$1,8),1),8)),IF(AND(BW38=2,BT31=1),DEC2HEX(_xlfn.BITXOR(BIN2DEC(RIGHT(HEX2BIN(BT38,8)&amp;LEFT(HEX2BIN($A$1,8),1),8)),HEX2DEC($B$1))),IF(AND(BW38=3,BT31=1),DEC2HEX(_xlfn.BITXOR(_xlfn.BITXOR(BIN2DEC(RIGHT(HEX2BIN(BT38,8)&amp;LEFT(HEX2BIN($A$1,8),1),8)),HEX2DEC($B$1)),HEX2DEC(BT38))),BT38)))))),HEX2DEC(IF(AND(BX38=3,BT32=0),DEC2HEX(_xlfn.BITXOR(BIN2DEC((RIGHT(HEX2BIN(BT39,8)&amp;LEFT(HEX2BIN($A$1,8),1),8))),HEX2DEC(BT39)),2),IF(AND(BX38=2,BT32=0),BIN2HEX(RIGHT(HEX2BIN(BT39,8)&amp;LEFT(HEX2BIN($A$1,8),1),8)),IF(AND(BX38=2,BT32=1),DEC2HEX(_xlfn.BITXOR(BIN2DEC(RIGHT(HEX2BIN(BT39,8)&amp;LEFT(HEX2BIN($A$1,8),1),8)),HEX2DEC($B$1))),IF(AND(BX38=3,BT32=1),DEC2HEX(_xlfn.BITXOR(_xlfn.BITXOR(BIN2DEC(RIGHT(HEX2BIN(BT39,8)&amp;LEFT(HEX2BIN($A$1,8),1),8)),HEX2DEC($B$1)),HEX2DEC(BT39))),BT39)))))),HEX2DEC(IF(AND(BY38=3,BT33=0),DEC2HEX(_xlfn.BITXOR(BIN2DEC((RIGHT(HEX2BIN(BT40,8)&amp;LEFT(HEX2BIN($A$1,8),1),8))),HEX2DEC(BT40)),2),IF(AND(BY38=2,BT33=0),BIN2HEX(RIGHT(HEX2BIN(BT40,8)&amp;LEFT(HEX2BIN($A$1,8),1),8)),IF(AND(BY38=2,BT33=1),DEC2HEX(_xlfn.BITXOR(BIN2DEC(RIGHT(HEX2BIN(BT40,8)&amp;LEFT(HEX2BIN($A$1,8),1),8)),HEX2DEC($B$1))),IF(AND(BY38=3,BT33=1),DEC2HEX(_xlfn.BITXOR(_xlfn.BITXOR(BIN2DEC(RIGHT(HEX2BIN(BT40,8)&amp;LEFT(HEX2BIN($A$1,8),1),8)),HEX2DEC($B$1)),HEX2DEC(BT40))),BT40)))))))</f>
        <v>6</v>
      </c>
    </row>
    <row r="39" spans="1:82" x14ac:dyDescent="0.25">
      <c r="A39" s="9" t="str">
        <f>AE34</f>
        <v>60</v>
      </c>
      <c r="B39" s="10"/>
      <c r="C39" s="8" t="s">
        <v>148</v>
      </c>
      <c r="D39" s="10"/>
      <c r="E39" s="8" t="str">
        <f t="shared" si="33"/>
        <v>99</v>
      </c>
      <c r="F39" s="10"/>
      <c r="G39" s="10">
        <v>40</v>
      </c>
      <c r="H39" s="82" t="str">
        <f t="shared" si="2"/>
        <v>9</v>
      </c>
      <c r="I39" s="73"/>
      <c r="J39" s="11" t="str">
        <f t="shared" si="34"/>
        <v>12</v>
      </c>
      <c r="K39" s="83" t="str">
        <f t="shared" si="51"/>
        <v>1B</v>
      </c>
      <c r="L39" s="73"/>
      <c r="M39" s="73" t="str">
        <f t="shared" si="36"/>
        <v>11</v>
      </c>
      <c r="N39" s="83" t="str">
        <f t="shared" si="37"/>
        <v>A</v>
      </c>
      <c r="O39" s="73"/>
      <c r="P39" s="73" t="str">
        <f t="shared" si="38"/>
        <v>3A</v>
      </c>
      <c r="Q39" s="84" t="str">
        <f t="shared" si="39"/>
        <v>30</v>
      </c>
      <c r="R39" s="10"/>
      <c r="S39" s="8">
        <v>4</v>
      </c>
      <c r="T39" s="11"/>
      <c r="U39" s="8"/>
      <c r="V39" s="8"/>
      <c r="W39" s="11"/>
      <c r="X39" s="8"/>
      <c r="Y39" s="8"/>
      <c r="Z39" s="11"/>
      <c r="AA39" s="8"/>
      <c r="AB39" s="8"/>
      <c r="AC39" s="11"/>
      <c r="AD39" s="8"/>
      <c r="AE39" s="8"/>
      <c r="AH39" s="63">
        <f>AK3</f>
        <v>72</v>
      </c>
      <c r="AI39" s="63">
        <f t="shared" ref="AI39:AK42" si="69">AL3</f>
        <v>58</v>
      </c>
      <c r="AJ39" s="63" t="str">
        <f t="shared" si="69"/>
        <v>B9</v>
      </c>
      <c r="AK39" s="63" t="str">
        <f t="shared" si="69"/>
        <v>5D</v>
      </c>
      <c r="AL39" s="1" t="s">
        <v>209</v>
      </c>
      <c r="AM39" s="72" t="str">
        <f>BL24</f>
        <v>B3</v>
      </c>
      <c r="AN39" s="74" t="str">
        <f t="shared" ref="AN39:AP42" si="70">BM24</f>
        <v>66</v>
      </c>
      <c r="AO39" s="74" t="str">
        <f t="shared" si="70"/>
        <v>59</v>
      </c>
      <c r="AP39" s="74" t="str">
        <f t="shared" si="70"/>
        <v>B2</v>
      </c>
      <c r="AR39" s="1" t="str">
        <f>DEC2HEX(_xlfn.BITXOR(HEX2DEC(AH39),HEX2DEC(AM39)))</f>
        <v>C1</v>
      </c>
      <c r="AS39" s="65" t="str">
        <f t="shared" ref="AS39:AU42" si="71">DEC2HEX(_xlfn.BITXOR(HEX2DEC(AI39),HEX2DEC(AN39)))</f>
        <v>3E</v>
      </c>
      <c r="AT39" s="65" t="str">
        <f t="shared" si="71"/>
        <v>E0</v>
      </c>
      <c r="AU39" s="65" t="str">
        <f t="shared" si="71"/>
        <v>EF</v>
      </c>
      <c r="AW39" s="1">
        <v>78</v>
      </c>
      <c r="AX39" s="1" t="s">
        <v>201</v>
      </c>
      <c r="AY39" s="1" t="s">
        <v>68</v>
      </c>
      <c r="AZ39" s="1" t="s">
        <v>194</v>
      </c>
      <c r="BB39" s="10">
        <f>AW39</f>
        <v>78</v>
      </c>
      <c r="BC39" s="10" t="str">
        <f t="shared" ref="BC39" si="72">AX39</f>
        <v>B2</v>
      </c>
      <c r="BD39" s="10" t="str">
        <f t="shared" ref="BD39" si="73">AY39</f>
        <v>E1</v>
      </c>
      <c r="BE39" s="28" t="str">
        <f t="shared" ref="BE39" si="74">AZ39</f>
        <v>DF</v>
      </c>
      <c r="BF39" s="10" t="s">
        <v>213</v>
      </c>
      <c r="BG39" s="34">
        <v>2</v>
      </c>
      <c r="BH39" s="34">
        <v>3</v>
      </c>
      <c r="BI39" s="34">
        <v>1</v>
      </c>
      <c r="BJ39" s="34">
        <v>1</v>
      </c>
      <c r="BK39" s="10"/>
      <c r="BL39" s="44" t="str">
        <f>DEC2HEX(_xlfn.BITXOR(_xlfn.BITXOR(_xlfn.BITXOR(HEX2DEC(IF(AND(BG39=3,BB32=0),DEC2HEX(_xlfn.BITXOR(BIN2DEC((RIGHT(HEX2BIN(BB39,8)&amp;LEFT(HEX2BIN($A$1,8),1),8))),HEX2DEC(BB39)),2),IF(AND(BG39=2,BB32=0),BIN2HEX(RIGHT(HEX2BIN(BB39,8)&amp;LEFT(HEX2BIN($A$1,8),1),8)),IF(AND(BG39=2,BB32=1),DEC2HEX(_xlfn.BITXOR(BIN2DEC(RIGHT(HEX2BIN(BB39,8)&amp;LEFT(HEX2BIN($A$1,8),1),8)),HEX2DEC($B$1))),IF(AND(BG39=3,BB32=1),DEC2HEX(_xlfn.BITXOR(_xlfn.BITXOR(BIN2DEC(RIGHT(HEX2BIN(BB39,8)&amp;LEFT(HEX2BIN($A$1,8),1),8)),HEX2DEC($B$1)),HEX2DEC(BB39))),BB39))))),HEX2DEC(IF(AND(BH39=3,BB33=0),DEC2HEX(_xlfn.BITXOR(BIN2DEC((RIGHT(HEX2BIN(BB40,8)&amp;LEFT(HEX2BIN($A$1,8),1),8))),HEX2DEC(BB40)),2),IF(AND(BH39=2,BB33=0),BIN2HEX(RIGHT(HEX2BIN(BB40,8)&amp;LEFT(HEX2BIN($A$1,8),1),8)),IF(AND(BH39=2,BB33=1),DEC2HEX(_xlfn.BITXOR(BIN2DEC(RIGHT(HEX2BIN(BB40,8)&amp;LEFT(HEX2BIN($A$1,8),1),8)),HEX2DEC($B$1))),IF(AND(BH39=3,BB33=1),DEC2HEX(_xlfn.BITXOR(_xlfn.BITXOR(BIN2DEC(RIGHT(HEX2BIN(BB40,8)&amp;LEFT(HEX2BIN($A$1,8),1),8)),HEX2DEC($B$1)),HEX2DEC(BB40))),BB40)))))),HEX2DEC(IF(AND(BI39=3,BB34=0),DEC2HEX(_xlfn.BITXOR(BIN2DEC((RIGHT(HEX2BIN(BB41,8)&amp;LEFT(HEX2BIN($A$1,8),1),8))),HEX2DEC(BB41)),2),IF(AND(BI39=2,BB34=0),BIN2HEX(RIGHT(HEX2BIN(BB41,8)&amp;LEFT(HEX2BIN($A$1,8),1),8)),IF(AND(BI39=2,BB34=1),DEC2HEX(_xlfn.BITXOR(BIN2DEC(RIGHT(HEX2BIN(BB41,8)&amp;LEFT(HEX2BIN($A$1,8),1),8)),HEX2DEC($B$1))),IF(AND(BI39=3,BB34=1),DEC2HEX(_xlfn.BITXOR(_xlfn.BITXOR(BIN2DEC(RIGHT(HEX2BIN(BB41,8)&amp;LEFT(HEX2BIN($A$1,8),1),8)),HEX2DEC($B$1)),HEX2DEC(BB41))),BB41)))))),HEX2DEC(IF(AND(BJ39=3,BB35=0),DEC2HEX(_xlfn.BITXOR(BIN2DEC((RIGHT(HEX2BIN(BB42,8)&amp;LEFT(HEX2BIN($A$1,8),1),8))),HEX2DEC(BB42)),2),IF(AND(BJ39=2,BB35=0),BIN2HEX(RIGHT(HEX2BIN(BB42,8)&amp;LEFT(HEX2BIN($A$1,8),1),8)),IF(AND(BJ39=2,BB35=1),DEC2HEX(_xlfn.BITXOR(BIN2DEC(RIGHT(HEX2BIN(BB42,8)&amp;LEFT(HEX2BIN($A$1,8),1),8)),HEX2DEC($B$1))),IF(AND(BJ39=3,BB35=1),DEC2HEX(_xlfn.BITXOR(_xlfn.BITXOR(BIN2DEC(RIGHT(HEX2BIN(BB42,8)&amp;LEFT(HEX2BIN($A$1,8),1),8)),HEX2DEC($B$1)),HEX2DEC(BB42))),BB42)))))))</f>
        <v>36</v>
      </c>
      <c r="BM39" s="44" t="str">
        <f>DEC2HEX(_xlfn.BITXOR(_xlfn.BITXOR(_xlfn.BITXOR(HEX2DEC(IF(AND(BG39=3,BC32=0),DEC2HEX(_xlfn.BITXOR(BIN2DEC((RIGHT(HEX2BIN(BC39,8)&amp;LEFT(HEX2BIN($A$1,8),1),8))),HEX2DEC(BC39)),2),IF(AND(BG39=2,BC32=0),BIN2HEX(RIGHT(HEX2BIN(BC39,8)&amp;LEFT(HEX2BIN($A$1,8),1),8)),IF(AND(BG39=2,BC32=1),DEC2HEX(_xlfn.BITXOR(BIN2DEC(RIGHT(HEX2BIN(BC39,8)&amp;LEFT(HEX2BIN($A$1,8),1),8)),HEX2DEC($B$1))),IF(AND(BG39=3,BC32=1),DEC2HEX(_xlfn.BITXOR(_xlfn.BITXOR(BIN2DEC(RIGHT(HEX2BIN(BC39,8)&amp;LEFT(HEX2BIN($A$1,8),1),8)),HEX2DEC($B$1)),HEX2DEC(BC39))),BC39))))),HEX2DEC(IF(AND(BH39=3,BC33=0),DEC2HEX(_xlfn.BITXOR(BIN2DEC((RIGHT(HEX2BIN(BC40,8)&amp;LEFT(HEX2BIN($A$1,8),1),8))),HEX2DEC(BC40)),2),IF(AND(BH39=2,BC33=0),BIN2HEX(RIGHT(HEX2BIN(BC40,8)&amp;LEFT(HEX2BIN($A$1,8),1),8)),IF(AND(BH39=2,BC33=1),DEC2HEX(_xlfn.BITXOR(BIN2DEC(RIGHT(HEX2BIN(BC40,8)&amp;LEFT(HEX2BIN($A$1,8),1),8)),HEX2DEC($B$1))),IF(AND(BH39=3,BC33=1),DEC2HEX(_xlfn.BITXOR(_xlfn.BITXOR(BIN2DEC(RIGHT(HEX2BIN(BC40,8)&amp;LEFT(HEX2BIN($A$1,8),1),8)),HEX2DEC($B$1)),HEX2DEC(BC40))),BC40)))))),HEX2DEC(IF(AND(BI39=3,BC34=0),DEC2HEX(_xlfn.BITXOR(BIN2DEC((RIGHT(HEX2BIN(BC41,8)&amp;LEFT(HEX2BIN($A$1,8),1),8))),HEX2DEC(BC41)),2),IF(AND(BI39=2,BC34=0),BIN2HEX(RIGHT(HEX2BIN(BC41,8)&amp;LEFT(HEX2BIN($A$1,8),1),8)),IF(AND(BI39=2,BC34=1),DEC2HEX(_xlfn.BITXOR(BIN2DEC(RIGHT(HEX2BIN(BC41,8)&amp;LEFT(HEX2BIN($A$1,8),1),8)),HEX2DEC($B$1))),IF(AND(BI39=3,BC34=1),DEC2HEX(_xlfn.BITXOR(_xlfn.BITXOR(BIN2DEC(RIGHT(HEX2BIN(BC41,8)&amp;LEFT(HEX2BIN($A$1,8),1),8)),HEX2DEC($B$1)),HEX2DEC(BC41))),BC41)))))),HEX2DEC(IF(AND(BJ39=3,BC35=0),DEC2HEX(_xlfn.BITXOR(BIN2DEC((RIGHT(HEX2BIN(BC42,8)&amp;LEFT(HEX2BIN($A$1,8),1),8))),HEX2DEC(BC42)),2),IF(AND(BJ39=2,BC35=0),BIN2HEX(RIGHT(HEX2BIN(BC42,8)&amp;LEFT(HEX2BIN($A$1,8),1),8)),IF(AND(BJ39=2,BC35=1),DEC2HEX(_xlfn.BITXOR(BIN2DEC(RIGHT(HEX2BIN(BC42,8)&amp;LEFT(HEX2BIN($A$1,8),1),8)),HEX2DEC($B$1))),IF(AND(BJ39=3,BC35=1),DEC2HEX(_xlfn.BITXOR(_xlfn.BITXOR(BIN2DEC(RIGHT(HEX2BIN(BC42,8)&amp;LEFT(HEX2BIN($A$1,8),1),8)),HEX2DEC($B$1)),HEX2DEC(BC42))),BC42)))))))</f>
        <v>B8</v>
      </c>
      <c r="BN39" s="41" t="str">
        <f>DEC2HEX(_xlfn.BITXOR(_xlfn.BITXOR(_xlfn.BITXOR(HEX2DEC(IF(AND(BG39=3,BD32=0),DEC2HEX(_xlfn.BITXOR(BIN2DEC((RIGHT(HEX2BIN(BD39,8)&amp;LEFT(HEX2BIN($A$1,8),1),8))),HEX2DEC(BD39)),2),IF(AND(BG39=2,BD32=0),BIN2HEX(RIGHT(HEX2BIN(BD39,8)&amp;LEFT(HEX2BIN($A$1,8),1),8)),IF(AND(BG39=2,BD32=1),DEC2HEX(_xlfn.BITXOR(BIN2DEC(RIGHT(HEX2BIN(BD39,8)&amp;LEFT(HEX2BIN($A$1,8),1),8)),HEX2DEC($B$1))),IF(AND(BG39=3,BD32=1),DEC2HEX(_xlfn.BITXOR(_xlfn.BITXOR(BIN2DEC(RIGHT(HEX2BIN(BD39,8)&amp;LEFT(HEX2BIN($A$1,8),1),8)),HEX2DEC($B$1)),HEX2DEC(BD39))),BD39))))),HEX2DEC(IF(AND(BH39=3,BD33=0),DEC2HEX(_xlfn.BITXOR(BIN2DEC((RIGHT(HEX2BIN(BD40,8)&amp;LEFT(HEX2BIN($A$1,8),1),8))),HEX2DEC(BD40)),2),IF(AND(BH39=2,BD33=0),BIN2HEX(RIGHT(HEX2BIN(BD40,8)&amp;LEFT(HEX2BIN($A$1,8),1),8)),IF(AND(BH39=2,BD33=1),DEC2HEX(_xlfn.BITXOR(BIN2DEC(RIGHT(HEX2BIN(BD40,8)&amp;LEFT(HEX2BIN($A$1,8),1),8)),HEX2DEC($B$1))),IF(AND(BH39=3,BD33=1),DEC2HEX(_xlfn.BITXOR(_xlfn.BITXOR(BIN2DEC(RIGHT(HEX2BIN(BD40,8)&amp;LEFT(HEX2BIN($A$1,8),1),8)),HEX2DEC($B$1)),HEX2DEC(BD40))),BD40)))))),HEX2DEC(IF(AND(BI39=3,BD34=0),DEC2HEX(_xlfn.BITXOR(BIN2DEC((RIGHT(HEX2BIN(BD41,8)&amp;LEFT(HEX2BIN($A$1,8),1),8))),HEX2DEC(BD41)),2),IF(AND(BI39=2,BD34=0),BIN2HEX(RIGHT(HEX2BIN(BD41,8)&amp;LEFT(HEX2BIN($A$1,8),1),8)),IF(AND(BI39=2,BD34=1),DEC2HEX(_xlfn.BITXOR(BIN2DEC(RIGHT(HEX2BIN(BD41,8)&amp;LEFT(HEX2BIN($A$1,8),1),8)),HEX2DEC($B$1))),IF(AND(BI39=3,BD34=1),DEC2HEX(_xlfn.BITXOR(_xlfn.BITXOR(BIN2DEC(RIGHT(HEX2BIN(BD41,8)&amp;LEFT(HEX2BIN($A$1,8),1),8)),HEX2DEC($B$1)),HEX2DEC(BD41))),BD41)))))),HEX2DEC(IF(AND(BJ39=3,BD35=0),DEC2HEX(_xlfn.BITXOR(BIN2DEC((RIGHT(HEX2BIN(BD42,8)&amp;LEFT(HEX2BIN($A$1,8),1),8))),HEX2DEC(BD42)),2),IF(AND(BJ39=2,BD35=0),BIN2HEX(RIGHT(HEX2BIN(BD42,8)&amp;LEFT(HEX2BIN($A$1,8),1),8)),IF(AND(BJ39=2,BD35=1),DEC2HEX(_xlfn.BITXOR(BIN2DEC(RIGHT(HEX2BIN(BD42,8)&amp;LEFT(HEX2BIN($A$1,8),1),8)),HEX2DEC($B$1))),IF(AND(BJ39=3,BD35=1),DEC2HEX(_xlfn.BITXOR(_xlfn.BITXOR(BIN2DEC(RIGHT(HEX2BIN(BD42,8)&amp;LEFT(HEX2BIN($A$1,8),1),8)),HEX2DEC($B$1)),HEX2DEC(BD42))),BD42)))))))</f>
        <v>DB</v>
      </c>
      <c r="BO39" s="44" t="str">
        <f>DEC2HEX(_xlfn.BITXOR(_xlfn.BITXOR(_xlfn.BITXOR(HEX2DEC(IF(AND(BG39=3,BE32=0),DEC2HEX(_xlfn.BITXOR(BIN2DEC((RIGHT(HEX2BIN(BE39,8)&amp;LEFT(HEX2BIN($A$1,8),1),8))),HEX2DEC(BE39)),2),IF(AND(BG39=2,BE32=0),BIN2HEX(RIGHT(HEX2BIN(BE39,8)&amp;LEFT(HEX2BIN($A$1,8),1),8)),IF(AND(BG39=2,BE32=1),DEC2HEX(_xlfn.BITXOR(BIN2DEC(RIGHT(HEX2BIN(BE39,8)&amp;LEFT(HEX2BIN($A$1,8),1),8)),HEX2DEC($B$1))),IF(AND(BG39=3,BE32=1),DEC2HEX(_xlfn.BITXOR(_xlfn.BITXOR(BIN2DEC(RIGHT(HEX2BIN(BE39,8)&amp;LEFT(HEX2BIN($A$1,8),1),8)),HEX2DEC($B$1)),HEX2DEC(BE39))),BE39))))),HEX2DEC(IF(AND(BH39=3,BE33=0),DEC2HEX(_xlfn.BITXOR(BIN2DEC((RIGHT(HEX2BIN(BE40,8)&amp;LEFT(HEX2BIN($A$1,8),1),8))),HEX2DEC(BE40)),2),IF(AND(BH39=2,BE33=0),BIN2HEX(RIGHT(HEX2BIN(BE40,8)&amp;LEFT(HEX2BIN($A$1,8),1),8)),IF(AND(BH39=2,BE33=1),DEC2HEX(_xlfn.BITXOR(BIN2DEC(RIGHT(HEX2BIN(BE40,8)&amp;LEFT(HEX2BIN($A$1,8),1),8)),HEX2DEC($B$1))),IF(AND(BH39=3,BE33=1),DEC2HEX(_xlfn.BITXOR(_xlfn.BITXOR(BIN2DEC(RIGHT(HEX2BIN(BE40,8)&amp;LEFT(HEX2BIN($A$1,8),1),8)),HEX2DEC($B$1)),HEX2DEC(BE40))),BE40)))))),HEX2DEC(IF(AND(BI39=3,BE34=0),DEC2HEX(_xlfn.BITXOR(BIN2DEC((RIGHT(HEX2BIN(BE41,8)&amp;LEFT(HEX2BIN($A$1,8),1),8))),HEX2DEC(BE41)),2),IF(AND(BI39=2,BE34=0),BIN2HEX(RIGHT(HEX2BIN(BE41,8)&amp;LEFT(HEX2BIN($A$1,8),1),8)),IF(AND(BI39=2,BE34=1),DEC2HEX(_xlfn.BITXOR(BIN2DEC(RIGHT(HEX2BIN(BE41,8)&amp;LEFT(HEX2BIN($A$1,8),1),8)),HEX2DEC($B$1))),IF(AND(BI39=3,BE34=1),DEC2HEX(_xlfn.BITXOR(_xlfn.BITXOR(BIN2DEC(RIGHT(HEX2BIN(BE41,8)&amp;LEFT(HEX2BIN($A$1,8),1),8)),HEX2DEC($B$1)),HEX2DEC(BE41))),BE41)))))),HEX2DEC(IF(AND(BJ39=3,BE35=0),DEC2HEX(_xlfn.BITXOR(BIN2DEC((RIGHT(HEX2BIN(BE42,8)&amp;LEFT(HEX2BIN($A$1,8),1),8))),HEX2DEC(BE42)),2),IF(AND(BJ39=2,BE35=0),BIN2HEX(RIGHT(HEX2BIN(BE42,8)&amp;LEFT(HEX2BIN($A$1,8),1),8)),IF(AND(BJ39=2,BE35=1),DEC2HEX(_xlfn.BITXOR(BIN2DEC(RIGHT(HEX2BIN(BE42,8)&amp;LEFT(HEX2BIN($A$1,8),1),8)),HEX2DEC($B$1))),IF(AND(BJ39=3,BE35=1),DEC2HEX(_xlfn.BITXOR(_xlfn.BITXOR(BIN2DEC(RIGHT(HEX2BIN(BE42,8)&amp;LEFT(HEX2BIN($A$1,8),1),8)),HEX2DEC($B$1)),HEX2DEC(BE42))),BE42)))))))</f>
        <v>91</v>
      </c>
      <c r="BQ39" s="57" t="s">
        <v>113</v>
      </c>
      <c r="BR39" s="57">
        <v>52</v>
      </c>
      <c r="BS39" s="57">
        <v>11</v>
      </c>
      <c r="BT39" s="57">
        <v>98</v>
      </c>
      <c r="BU39" s="57"/>
      <c r="BV39" s="59">
        <v>1</v>
      </c>
      <c r="BW39" s="59">
        <v>1</v>
      </c>
      <c r="BX39" s="59">
        <v>2</v>
      </c>
      <c r="BY39" s="59">
        <v>3</v>
      </c>
      <c r="BZ39" s="58"/>
      <c r="CA39" s="57" t="str">
        <f>DEC2HEX(_xlfn.BITXOR(_xlfn.BITXOR(_xlfn.BITXOR(HEX2DEC(IF(AND(BV39=3,BQ30=0),DEC2HEX(_xlfn.BITXOR(BIN2DEC((RIGHT(HEX2BIN(BQ37,8)&amp;LEFT(HEX2BIN($A$1,8),1),8))),HEX2DEC(BQ37)),2),IF(AND(BV39=2,BQ30=0),BIN2HEX(RIGHT(HEX2BIN(BQ37,8)&amp;LEFT(HEX2BIN($A$1,8),1),8)),IF(AND(BV39=2,BQ30=1),DEC2HEX(_xlfn.BITXOR(BIN2DEC(RIGHT(HEX2BIN(BQ37,8)&amp;LEFT(HEX2BIN($A$1,8),1),8)),HEX2DEC($B$1))),IF(AND(BV39=3,BQ30=1),DEC2HEX(_xlfn.BITXOR(_xlfn.BITXOR(BIN2DEC(RIGHT(HEX2BIN(BQ37,8)&amp;LEFT(HEX2BIN($A$1,8),1),8)),HEX2DEC($B$1)),HEX2DEC(BQ37))),BQ37))))),HEX2DEC(IF(AND(BW39=3,BQ31=0),DEC2HEX(_xlfn.BITXOR(BIN2DEC((RIGHT(HEX2BIN(BQ38,8)&amp;LEFT(HEX2BIN($A$1,8),1),8))),HEX2DEC(BQ38)),2),IF(AND(BW39=2,BQ31=0),BIN2HEX(RIGHT(HEX2BIN(BQ38,8)&amp;LEFT(HEX2BIN($A$1,8),1),8)),IF(AND(BW39=2,BQ31=1),DEC2HEX(_xlfn.BITXOR(BIN2DEC(RIGHT(HEX2BIN(BQ38,8)&amp;LEFT(HEX2BIN($A$1,8),1),8)),HEX2DEC($B$1))),IF(AND(BW39=3,BQ31=1),DEC2HEX(_xlfn.BITXOR(_xlfn.BITXOR(BIN2DEC(RIGHT(HEX2BIN(BQ38,8)&amp;LEFT(HEX2BIN($A$1,8),1),8)),HEX2DEC($B$1)),HEX2DEC(BQ38))),BQ38)))))),HEX2DEC(IF(AND(BX39=3,BQ32=0),DEC2HEX(_xlfn.BITXOR(BIN2DEC((RIGHT(HEX2BIN(BQ39,8)&amp;LEFT(HEX2BIN($A$1,8),1),8))),HEX2DEC(BQ39)),2),IF(AND(BX39=2,BQ32=0),BIN2HEX(RIGHT(HEX2BIN(BQ39,8)&amp;LEFT(HEX2BIN($A$1,8),1),8)),IF(AND(BX39=2,BQ32=1),DEC2HEX(_xlfn.BITXOR(BIN2DEC(RIGHT(HEX2BIN(BQ39,8)&amp;LEFT(HEX2BIN($A$1,8),1),8)),HEX2DEC($B$1))),IF(AND(BX39=3,BQ32=1),DEC2HEX(_xlfn.BITXOR(_xlfn.BITXOR(BIN2DEC(RIGHT(HEX2BIN(BQ39,8)&amp;LEFT(HEX2BIN($A$1,8),1),8)),HEX2DEC($B$1)),HEX2DEC(BQ39))),BQ39)))))),HEX2DEC(IF(AND(BY39=3,BQ33=0),DEC2HEX(_xlfn.BITXOR(BIN2DEC((RIGHT(HEX2BIN(BQ40,8)&amp;LEFT(HEX2BIN($A$1,8),1),8))),HEX2DEC(BQ40)),2),IF(AND(BY39=2,BQ33=0),BIN2HEX(RIGHT(HEX2BIN(BQ40,8)&amp;LEFT(HEX2BIN($A$1,8),1),8)),IF(AND(BY39=2,BQ33=1),DEC2HEX(_xlfn.BITXOR(BIN2DEC(RIGHT(HEX2BIN(BQ40,8)&amp;LEFT(HEX2BIN($A$1,8),1),8)),HEX2DEC($B$1))),IF(AND(BY39=3,BQ33=1),DEC2HEX(_xlfn.BITXOR(_xlfn.BITXOR(BIN2DEC(RIGHT(HEX2BIN(BQ40,8)&amp;LEFT(HEX2BIN($A$1,8),1),8)),HEX2DEC($B$1)),HEX2DEC(BQ40))),BQ40)))))))</f>
        <v>81</v>
      </c>
      <c r="CB39" s="57" t="str">
        <f>DEC2HEX(_xlfn.BITXOR(_xlfn.BITXOR(_xlfn.BITXOR(HEX2DEC(IF(AND(BV39=3,BR30=0),DEC2HEX(_xlfn.BITXOR(BIN2DEC((RIGHT(HEX2BIN(BR37,8)&amp;LEFT(HEX2BIN($A$1,8),1),8))),HEX2DEC(BR37)),2),IF(AND(BV39=2,BR30=0),BIN2HEX(RIGHT(HEX2BIN(BR37,8)&amp;LEFT(HEX2BIN($A$1,8),1),8)),IF(AND(BV39=2,BR30=1),DEC2HEX(_xlfn.BITXOR(BIN2DEC(RIGHT(HEX2BIN(BR37,8)&amp;LEFT(HEX2BIN($A$1,8),1),8)),HEX2DEC($B$1))),IF(AND(BV39=3,BR30=1),DEC2HEX(_xlfn.BITXOR(_xlfn.BITXOR(BIN2DEC(RIGHT(HEX2BIN(BR37,8)&amp;LEFT(HEX2BIN($A$1,8),1),8)),HEX2DEC($B$1)),HEX2DEC(BR37))),BR37))))),HEX2DEC(IF(AND(BW39=3,BR31=0),DEC2HEX(_xlfn.BITXOR(BIN2DEC((RIGHT(HEX2BIN(BR38,8)&amp;LEFT(HEX2BIN($A$1,8),1),8))),HEX2DEC(BR38)),2),IF(AND(BW39=2,BR31=0),BIN2HEX(RIGHT(HEX2BIN(BR38,8)&amp;LEFT(HEX2BIN($A$1,8),1),8)),IF(AND(BW39=2,BR31=1),DEC2HEX(_xlfn.BITXOR(BIN2DEC(RIGHT(HEX2BIN(BR38,8)&amp;LEFT(HEX2BIN($A$1,8),1),8)),HEX2DEC($B$1))),IF(AND(BW39=3,BR31=1),DEC2HEX(_xlfn.BITXOR(_xlfn.BITXOR(BIN2DEC(RIGHT(HEX2BIN(BR38,8)&amp;LEFT(HEX2BIN($A$1,8),1),8)),HEX2DEC($B$1)),HEX2DEC(BR38))),BR38)))))),HEX2DEC(IF(AND(BX39=3,BR32=0),DEC2HEX(_xlfn.BITXOR(BIN2DEC((RIGHT(HEX2BIN(BR39,8)&amp;LEFT(HEX2BIN($A$1,8),1),8))),HEX2DEC(BR39)),2),IF(AND(BX39=2,BR32=0),BIN2HEX(RIGHT(HEX2BIN(BR39,8)&amp;LEFT(HEX2BIN($A$1,8),1),8)),IF(AND(BX39=2,BR32=1),DEC2HEX(_xlfn.BITXOR(BIN2DEC(RIGHT(HEX2BIN(BR39,8)&amp;LEFT(HEX2BIN($A$1,8),1),8)),HEX2DEC($B$1))),IF(AND(BX39=3,BR32=1),DEC2HEX(_xlfn.BITXOR(_xlfn.BITXOR(BIN2DEC(RIGHT(HEX2BIN(BR39,8)&amp;LEFT(HEX2BIN($A$1,8),1),8)),HEX2DEC($B$1)),HEX2DEC(BR39))),BR39)))))),HEX2DEC(IF(AND(BY39=3,BR33=0),DEC2HEX(_xlfn.BITXOR(BIN2DEC((RIGHT(HEX2BIN(BR40,8)&amp;LEFT(HEX2BIN($A$1,8),1),8))),HEX2DEC(BR40)),2),IF(AND(BY39=2,BR33=0),BIN2HEX(RIGHT(HEX2BIN(BR40,8)&amp;LEFT(HEX2BIN($A$1,8),1),8)),IF(AND(BY39=2,BR33=1),DEC2HEX(_xlfn.BITXOR(BIN2DEC(RIGHT(HEX2BIN(BR40,8)&amp;LEFT(HEX2BIN($A$1,8),1),8)),HEX2DEC($B$1))),IF(AND(BY39=3,BR33=1),DEC2HEX(_xlfn.BITXOR(_xlfn.BITXOR(BIN2DEC(RIGHT(HEX2BIN(BR40,8)&amp;LEFT(HEX2BIN($A$1,8),1),8)),HEX2DEC($B$1)),HEX2DEC(BR40))),BR40)))))))</f>
        <v>19</v>
      </c>
      <c r="CC39" s="57" t="str">
        <f>DEC2HEX(_xlfn.BITXOR(_xlfn.BITXOR(_xlfn.BITXOR(HEX2DEC(IF(AND(BV39=3,BS30=0),DEC2HEX(_xlfn.BITXOR(BIN2DEC((RIGHT(HEX2BIN(BS37,8)&amp;LEFT(HEX2BIN($A$1,8),1),8))),HEX2DEC(BS37)),2),IF(AND(BV39=2,BS30=0),BIN2HEX(RIGHT(HEX2BIN(BS37,8)&amp;LEFT(HEX2BIN($A$1,8),1),8)),IF(AND(BV39=2,BS30=1),DEC2HEX(_xlfn.BITXOR(BIN2DEC(RIGHT(HEX2BIN(BS37,8)&amp;LEFT(HEX2BIN($A$1,8),1),8)),HEX2DEC($B$1))),IF(AND(BV39=3,BS30=1),DEC2HEX(_xlfn.BITXOR(_xlfn.BITXOR(BIN2DEC(RIGHT(HEX2BIN(BS37,8)&amp;LEFT(HEX2BIN($A$1,8),1),8)),HEX2DEC($B$1)),HEX2DEC(BS37))),BS37))))),HEX2DEC(IF(AND(BW39=3,BS31=0),DEC2HEX(_xlfn.BITXOR(BIN2DEC((RIGHT(HEX2BIN(BS38,8)&amp;LEFT(HEX2BIN($A$1,8),1),8))),HEX2DEC(BS38)),2),IF(AND(BW39=2,BS31=0),BIN2HEX(RIGHT(HEX2BIN(BS38,8)&amp;LEFT(HEX2BIN($A$1,8),1),8)),IF(AND(BW39=2,BS31=1),DEC2HEX(_xlfn.BITXOR(BIN2DEC(RIGHT(HEX2BIN(BS38,8)&amp;LEFT(HEX2BIN($A$1,8),1),8)),HEX2DEC($B$1))),IF(AND(BW39=3,BS31=1),DEC2HEX(_xlfn.BITXOR(_xlfn.BITXOR(BIN2DEC(RIGHT(HEX2BIN(BS38,8)&amp;LEFT(HEX2BIN($A$1,8),1),8)),HEX2DEC($B$1)),HEX2DEC(BS38))),BS38)))))),HEX2DEC(IF(AND(BX39=3,BS32=0),DEC2HEX(_xlfn.BITXOR(BIN2DEC((RIGHT(HEX2BIN(BS39,8)&amp;LEFT(HEX2BIN($A$1,8),1),8))),HEX2DEC(BS39)),2),IF(AND(BX39=2,BS32=0),BIN2HEX(RIGHT(HEX2BIN(BS39,8)&amp;LEFT(HEX2BIN($A$1,8),1),8)),IF(AND(BX39=2,BS32=1),DEC2HEX(_xlfn.BITXOR(BIN2DEC(RIGHT(HEX2BIN(BS39,8)&amp;LEFT(HEX2BIN($A$1,8),1),8)),HEX2DEC($B$1))),IF(AND(BX39=3,BS32=1),DEC2HEX(_xlfn.BITXOR(_xlfn.BITXOR(BIN2DEC(RIGHT(HEX2BIN(BS39,8)&amp;LEFT(HEX2BIN($A$1,8),1),8)),HEX2DEC($B$1)),HEX2DEC(BS39))),BS39)))))),HEX2DEC(IF(AND(BY39=3,BS33=0),DEC2HEX(_xlfn.BITXOR(BIN2DEC((RIGHT(HEX2BIN(BS40,8)&amp;LEFT(HEX2BIN($A$1,8),1),8))),HEX2DEC(BS40)),2),IF(AND(BY39=2,BS33=0),BIN2HEX(RIGHT(HEX2BIN(BS40,8)&amp;LEFT(HEX2BIN($A$1,8),1),8)),IF(AND(BY39=2,BS33=1),DEC2HEX(_xlfn.BITXOR(BIN2DEC(RIGHT(HEX2BIN(BS40,8)&amp;LEFT(HEX2BIN($A$1,8),1),8)),HEX2DEC($B$1))),IF(AND(BY39=3,BS33=1),DEC2HEX(_xlfn.BITXOR(_xlfn.BITXOR(BIN2DEC(RIGHT(HEX2BIN(BS40,8)&amp;LEFT(HEX2BIN($A$1,8),1),8)),HEX2DEC($B$1)),HEX2DEC(BS40))),BS40)))))))</f>
        <v>D3</v>
      </c>
      <c r="CD39" s="57" t="str">
        <f>DEC2HEX(_xlfn.BITXOR(_xlfn.BITXOR(_xlfn.BITXOR(HEX2DEC(IF(AND(BV39=3,BT30=0),DEC2HEX(_xlfn.BITXOR(BIN2DEC((RIGHT(HEX2BIN(BT37,8)&amp;LEFT(HEX2BIN($A$1,8),1),8))),HEX2DEC(BT37)),2),IF(AND(BV39=2,BT30=0),BIN2HEX(RIGHT(HEX2BIN(BT37,8)&amp;LEFT(HEX2BIN($A$1,8),1),8)),IF(AND(BV39=2,BT30=1),DEC2HEX(_xlfn.BITXOR(BIN2DEC(RIGHT(HEX2BIN(BT37,8)&amp;LEFT(HEX2BIN($A$1,8),1),8)),HEX2DEC($B$1))),IF(AND(BV39=3,BT30=1),DEC2HEX(_xlfn.BITXOR(_xlfn.BITXOR(BIN2DEC(RIGHT(HEX2BIN(BT37,8)&amp;LEFT(HEX2BIN($A$1,8),1),8)),HEX2DEC($B$1)),HEX2DEC(BT37))),BT37))))),HEX2DEC(IF(AND(BW39=3,BT31=0),DEC2HEX(_xlfn.BITXOR(BIN2DEC((RIGHT(HEX2BIN(BT38,8)&amp;LEFT(HEX2BIN($A$1,8),1),8))),HEX2DEC(BT38)),2),IF(AND(BW39=2,BT31=0),BIN2HEX(RIGHT(HEX2BIN(BT38,8)&amp;LEFT(HEX2BIN($A$1,8),1),8)),IF(AND(BW39=2,BT31=1),DEC2HEX(_xlfn.BITXOR(BIN2DEC(RIGHT(HEX2BIN(BT38,8)&amp;LEFT(HEX2BIN($A$1,8),1),8)),HEX2DEC($B$1))),IF(AND(BW39=3,BT31=1),DEC2HEX(_xlfn.BITXOR(_xlfn.BITXOR(BIN2DEC(RIGHT(HEX2BIN(BT38,8)&amp;LEFT(HEX2BIN($A$1,8),1),8)),HEX2DEC($B$1)),HEX2DEC(BT38))),BT38)))))),HEX2DEC(IF(AND(BX39=3,BT32=0),DEC2HEX(_xlfn.BITXOR(BIN2DEC((RIGHT(HEX2BIN(BT39,8)&amp;LEFT(HEX2BIN($A$1,8),1),8))),HEX2DEC(BT39)),2),IF(AND(BX39=2,BT32=0),BIN2HEX(RIGHT(HEX2BIN(BT39,8)&amp;LEFT(HEX2BIN($A$1,8),1),8)),IF(AND(BX39=2,BT32=1),DEC2HEX(_xlfn.BITXOR(BIN2DEC(RIGHT(HEX2BIN(BT39,8)&amp;LEFT(HEX2BIN($A$1,8),1),8)),HEX2DEC($B$1))),IF(AND(BX39=3,BT32=1),DEC2HEX(_xlfn.BITXOR(_xlfn.BITXOR(BIN2DEC(RIGHT(HEX2BIN(BT39,8)&amp;LEFT(HEX2BIN($A$1,8),1),8)),HEX2DEC($B$1)),HEX2DEC(BT39))),BT39)))))),HEX2DEC(IF(AND(BY39=3,BT33=0),DEC2HEX(_xlfn.BITXOR(BIN2DEC((RIGHT(HEX2BIN(BT40,8)&amp;LEFT(HEX2BIN($A$1,8),1),8))),HEX2DEC(BT40)),2),IF(AND(BY39=2,BT33=0),BIN2HEX(RIGHT(HEX2BIN(BT40,8)&amp;LEFT(HEX2BIN($A$1,8),1),8)),IF(AND(BY39=2,BT33=1),DEC2HEX(_xlfn.BITXOR(BIN2DEC(RIGHT(HEX2BIN(BT40,8)&amp;LEFT(HEX2BIN($A$1,8),1),8)),HEX2DEC($B$1))),IF(AND(BY39=3,BT33=1),DEC2HEX(_xlfn.BITXOR(_xlfn.BITXOR(BIN2DEC(RIGHT(HEX2BIN(BT40,8)&amp;LEFT(HEX2BIN($A$1,8),1),8)),HEX2DEC($B$1)),HEX2DEC(BT40))),BT40)))))))</f>
        <v>26</v>
      </c>
    </row>
    <row r="40" spans="1:82" x14ac:dyDescent="0.25">
      <c r="A40" s="9" t="str">
        <f t="shared" ref="A40:A41" si="75">AE35</f>
        <v>CC</v>
      </c>
      <c r="B40" s="10"/>
      <c r="C40" s="8" t="s">
        <v>197</v>
      </c>
      <c r="D40" s="10"/>
      <c r="E40" s="8" t="str">
        <f t="shared" si="33"/>
        <v>92</v>
      </c>
      <c r="F40" s="10"/>
      <c r="G40" s="10"/>
      <c r="H40" s="82" t="str">
        <f t="shared" si="2"/>
        <v>D9</v>
      </c>
      <c r="I40" s="73"/>
      <c r="J40" s="11" t="str">
        <f t="shared" si="34"/>
        <v>3F</v>
      </c>
      <c r="K40" s="83" t="str">
        <f t="shared" si="51"/>
        <v>E6</v>
      </c>
      <c r="L40" s="73"/>
      <c r="M40" s="73" t="str">
        <f t="shared" si="36"/>
        <v>98</v>
      </c>
      <c r="N40" s="83" t="str">
        <f t="shared" si="37"/>
        <v>7E</v>
      </c>
      <c r="O40" s="73"/>
      <c r="P40" s="73" t="str">
        <f t="shared" si="38"/>
        <v>1D</v>
      </c>
      <c r="Q40" s="84" t="str">
        <f t="shared" si="39"/>
        <v>63</v>
      </c>
      <c r="R40" s="10"/>
      <c r="S40" s="8" t="s">
        <v>172</v>
      </c>
      <c r="T40" s="11"/>
      <c r="U40" s="8"/>
      <c r="V40" s="8"/>
      <c r="W40" s="11"/>
      <c r="X40" s="8"/>
      <c r="Y40" s="8"/>
      <c r="Z40" s="11"/>
      <c r="AA40" s="8"/>
      <c r="AB40" s="8"/>
      <c r="AC40" s="11"/>
      <c r="AD40" s="8"/>
      <c r="AE40" s="8"/>
      <c r="AH40" s="63" t="str">
        <f t="shared" ref="AH40:AH42" si="76">AK4</f>
        <v>2C</v>
      </c>
      <c r="AI40" s="63">
        <f t="shared" si="69"/>
        <v>83</v>
      </c>
      <c r="AJ40" s="63" t="str">
        <f t="shared" si="69"/>
        <v>A7</v>
      </c>
      <c r="AK40" s="63">
        <f t="shared" si="69"/>
        <v>22</v>
      </c>
      <c r="AM40" s="74" t="str">
        <f t="shared" ref="AM40:AM42" si="77">BL25</f>
        <v>82</v>
      </c>
      <c r="AN40" s="74" t="str">
        <f t="shared" si="70"/>
        <v>24</v>
      </c>
      <c r="AO40" s="74" t="str">
        <f t="shared" si="70"/>
        <v>38</v>
      </c>
      <c r="AP40" s="74" t="str">
        <f t="shared" si="70"/>
        <v>5A</v>
      </c>
      <c r="AR40" s="65" t="str">
        <f t="shared" ref="AR40:AR42" si="78">DEC2HEX(_xlfn.BITXOR(HEX2DEC(AH40),HEX2DEC(AM40)))</f>
        <v>AE</v>
      </c>
      <c r="AS40" s="65" t="str">
        <f t="shared" si="71"/>
        <v>A7</v>
      </c>
      <c r="AT40" s="65" t="str">
        <f t="shared" si="71"/>
        <v>9F</v>
      </c>
      <c r="AU40" s="65" t="str">
        <f t="shared" si="71"/>
        <v>78</v>
      </c>
      <c r="AW40" s="1" t="s">
        <v>131</v>
      </c>
      <c r="AX40" s="1" t="s">
        <v>202</v>
      </c>
      <c r="AY40" s="1" t="s">
        <v>93</v>
      </c>
      <c r="AZ40" s="1" t="s">
        <v>169</v>
      </c>
      <c r="BB40" s="10" t="str">
        <f>AX40</f>
        <v>5C</v>
      </c>
      <c r="BC40" s="10" t="str">
        <f t="shared" ref="BC40" si="79">AY40</f>
        <v>DB</v>
      </c>
      <c r="BD40" s="10" t="str">
        <f t="shared" ref="BD40" si="80">AZ40</f>
        <v>BC</v>
      </c>
      <c r="BE40" s="29" t="str">
        <f>AW40</f>
        <v>E4</v>
      </c>
      <c r="BF40" s="10"/>
      <c r="BG40" s="34">
        <v>1</v>
      </c>
      <c r="BH40" s="34">
        <v>2</v>
      </c>
      <c r="BI40" s="34">
        <v>3</v>
      </c>
      <c r="BJ40" s="34">
        <v>1</v>
      </c>
      <c r="BK40" s="10"/>
      <c r="BL40" s="44" t="str">
        <f>DEC2HEX(_xlfn.BITXOR(_xlfn.BITXOR(_xlfn.BITXOR(HEX2DEC(IF(AND(BG40=3,BB32=0),DEC2HEX(_xlfn.BITXOR(BIN2DEC((RIGHT(HEX2BIN(BB39,8)&amp;LEFT(HEX2BIN($A$1,8),1),8))),HEX2DEC(BB39)),2),IF(AND(BG40=2,BB32=0),BIN2HEX(RIGHT(HEX2BIN(BB39,8)&amp;LEFT(HEX2BIN($A$1,8),1),8)),IF(AND(BG40=2,BB32=1),DEC2HEX(_xlfn.BITXOR(BIN2DEC(RIGHT(HEX2BIN(BB39,8)&amp;LEFT(HEX2BIN($A$1,8),1),8)),HEX2DEC($B$1))),IF(AND(BG40=3,BB32=1),DEC2HEX(_xlfn.BITXOR(_xlfn.BITXOR(BIN2DEC(RIGHT(HEX2BIN(BB39,8)&amp;LEFT(HEX2BIN($A$1,8),1),8)),HEX2DEC($B$1)),HEX2DEC(BB39))),BB39))))),HEX2DEC(IF(AND(BH40=3,BB33=0),DEC2HEX(_xlfn.BITXOR(BIN2DEC((RIGHT(HEX2BIN(BB40,8)&amp;LEFT(HEX2BIN($A$1,8),1),8))),HEX2DEC(BB40)),2),IF(AND(BH40=2,BB33=0),BIN2HEX(RIGHT(HEX2BIN(BB40,8)&amp;LEFT(HEX2BIN($A$1,8),1),8)),IF(AND(BH40=2,BB33=1),DEC2HEX(_xlfn.BITXOR(BIN2DEC(RIGHT(HEX2BIN(BB40,8)&amp;LEFT(HEX2BIN($A$1,8),1),8)),HEX2DEC($B$1))),IF(AND(BH40=3,BB33=1),DEC2HEX(_xlfn.BITXOR(_xlfn.BITXOR(BIN2DEC(RIGHT(HEX2BIN(BB40,8)&amp;LEFT(HEX2BIN($A$1,8),1),8)),HEX2DEC($B$1)),HEX2DEC(BB40))),BB40)))))),HEX2DEC(IF(AND(BI40=3,BB34=0),DEC2HEX(_xlfn.BITXOR(BIN2DEC((RIGHT(HEX2BIN(BB41,8)&amp;LEFT(HEX2BIN($A$1,8),1),8))),HEX2DEC(BB41)),2),IF(AND(BI40=2,BB34=0),BIN2HEX(RIGHT(HEX2BIN(BB41,8)&amp;LEFT(HEX2BIN($A$1,8),1),8)),IF(AND(BI40=2,BB34=1),DEC2HEX(_xlfn.BITXOR(BIN2DEC(RIGHT(HEX2BIN(BB41,8)&amp;LEFT(HEX2BIN($A$1,8),1),8)),HEX2DEC($B$1))),IF(AND(BI40=3,BB34=1),DEC2HEX(_xlfn.BITXOR(_xlfn.BITXOR(BIN2DEC(RIGHT(HEX2BIN(BB41,8)&amp;LEFT(HEX2BIN($A$1,8),1),8)),HEX2DEC($B$1)),HEX2DEC(BB41))),BB41)))))),HEX2DEC(IF(AND(BJ40=3,BB35=0),DEC2HEX(_xlfn.BITXOR(BIN2DEC((RIGHT(HEX2BIN(BB42,8)&amp;LEFT(HEX2BIN($A$1,8),1),8))),HEX2DEC(BB42)),2),IF(AND(BJ40=2,BB35=0),BIN2HEX(RIGHT(HEX2BIN(BB42,8)&amp;LEFT(HEX2BIN($A$1,8),1),8)),IF(AND(BJ40=2,BB35=1),DEC2HEX(_xlfn.BITXOR(BIN2DEC(RIGHT(HEX2BIN(BB42,8)&amp;LEFT(HEX2BIN($A$1,8),1),8)),HEX2DEC($B$1))),IF(AND(BJ40=3,BB35=1),DEC2HEX(_xlfn.BITXOR(_xlfn.BITXOR(BIN2DEC(RIGHT(HEX2BIN(BB42,8)&amp;LEFT(HEX2BIN($A$1,8),1),8)),HEX2DEC($B$1)),HEX2DEC(BB42))),BB42)))))))</f>
        <v>75</v>
      </c>
      <c r="BM40" s="44" t="str">
        <f>DEC2HEX(_xlfn.BITXOR(_xlfn.BITXOR(_xlfn.BITXOR(HEX2DEC(IF(AND(BG40=3,BC32=0),DEC2HEX(_xlfn.BITXOR(BIN2DEC((RIGHT(HEX2BIN(BC39,8)&amp;LEFT(HEX2BIN($A$1,8),1),8))),HEX2DEC(BC39)),2),IF(AND(BG40=2,BC32=0),BIN2HEX(RIGHT(HEX2BIN(BC39,8)&amp;LEFT(HEX2BIN($A$1,8),1),8)),IF(AND(BG40=2,BC32=1),DEC2HEX(_xlfn.BITXOR(BIN2DEC(RIGHT(HEX2BIN(BC39,8)&amp;LEFT(HEX2BIN($A$1,8),1),8)),HEX2DEC($B$1))),IF(AND(BG40=3,BC32=1),DEC2HEX(_xlfn.BITXOR(_xlfn.BITXOR(BIN2DEC(RIGHT(HEX2BIN(BC39,8)&amp;LEFT(HEX2BIN($A$1,8),1),8)),HEX2DEC($B$1)),HEX2DEC(BC39))),BC39))))),HEX2DEC(IF(AND(BH40=3,BC33=0),DEC2HEX(_xlfn.BITXOR(BIN2DEC((RIGHT(HEX2BIN(BC40,8)&amp;LEFT(HEX2BIN($A$1,8),1),8))),HEX2DEC(BC40)),2),IF(AND(BH40=2,BC33=0),BIN2HEX(RIGHT(HEX2BIN(BC40,8)&amp;LEFT(HEX2BIN($A$1,8),1),8)),IF(AND(BH40=2,BC33=1),DEC2HEX(_xlfn.BITXOR(BIN2DEC(RIGHT(HEX2BIN(BC40,8)&amp;LEFT(HEX2BIN($A$1,8),1),8)),HEX2DEC($B$1))),IF(AND(BH40=3,BC33=1),DEC2HEX(_xlfn.BITXOR(_xlfn.BITXOR(BIN2DEC(RIGHT(HEX2BIN(BC40,8)&amp;LEFT(HEX2BIN($A$1,8),1),8)),HEX2DEC($B$1)),HEX2DEC(BC40))),BC40)))))),HEX2DEC(IF(AND(BI40=3,BC34=0),DEC2HEX(_xlfn.BITXOR(BIN2DEC((RIGHT(HEX2BIN(BC41,8)&amp;LEFT(HEX2BIN($A$1,8),1),8))),HEX2DEC(BC41)),2),IF(AND(BI40=2,BC34=0),BIN2HEX(RIGHT(HEX2BIN(BC41,8)&amp;LEFT(HEX2BIN($A$1,8),1),8)),IF(AND(BI40=2,BC34=1),DEC2HEX(_xlfn.BITXOR(BIN2DEC(RIGHT(HEX2BIN(BC41,8)&amp;LEFT(HEX2BIN($A$1,8),1),8)),HEX2DEC($B$1))),IF(AND(BI40=3,BC34=1),DEC2HEX(_xlfn.BITXOR(_xlfn.BITXOR(BIN2DEC(RIGHT(HEX2BIN(BC41,8)&amp;LEFT(HEX2BIN($A$1,8),1),8)),HEX2DEC($B$1)),HEX2DEC(BC41))),BC41)))))),HEX2DEC(IF(AND(BJ40=3,BC35=0),DEC2HEX(_xlfn.BITXOR(BIN2DEC((RIGHT(HEX2BIN(BC42,8)&amp;LEFT(HEX2BIN($A$1,8),1),8))),HEX2DEC(BC42)),2),IF(AND(BJ40=2,BC35=0),BIN2HEX(RIGHT(HEX2BIN(BC42,8)&amp;LEFT(HEX2BIN($A$1,8),1),8)),IF(AND(BJ40=2,BC35=1),DEC2HEX(_xlfn.BITXOR(BIN2DEC(RIGHT(HEX2BIN(BC42,8)&amp;LEFT(HEX2BIN($A$1,8),1),8)),HEX2DEC($B$1))),IF(AND(BJ40=3,BC35=1),DEC2HEX(_xlfn.BITXOR(_xlfn.BITXOR(BIN2DEC(RIGHT(HEX2BIN(BC42,8)&amp;LEFT(HEX2BIN($A$1,8),1),8)),HEX2DEC($B$1)),HEX2DEC(BC42))),BC42)))))))</f>
        <v>64</v>
      </c>
      <c r="BN40" s="44" t="str">
        <f>DEC2HEX(_xlfn.BITXOR(_xlfn.BITXOR(_xlfn.BITXOR(HEX2DEC(IF(AND(BG40=3,BD32=0),DEC2HEX(_xlfn.BITXOR(BIN2DEC((RIGHT(HEX2BIN(BD39,8)&amp;LEFT(HEX2BIN($A$1,8),1),8))),HEX2DEC(BD39)),2),IF(AND(BG40=2,BD32=0),BIN2HEX(RIGHT(HEX2BIN(BD39,8)&amp;LEFT(HEX2BIN($A$1,8),1),8)),IF(AND(BG40=2,BD32=1),DEC2HEX(_xlfn.BITXOR(BIN2DEC(RIGHT(HEX2BIN(BD39,8)&amp;LEFT(HEX2BIN($A$1,8),1),8)),HEX2DEC($B$1))),IF(AND(BG40=3,BD32=1),DEC2HEX(_xlfn.BITXOR(_xlfn.BITXOR(BIN2DEC(RIGHT(HEX2BIN(BD39,8)&amp;LEFT(HEX2BIN($A$1,8),1),8)),HEX2DEC($B$1)),HEX2DEC(BD39))),BD39))))),HEX2DEC(IF(AND(BH40=3,BD33=0),DEC2HEX(_xlfn.BITXOR(BIN2DEC((RIGHT(HEX2BIN(BD40,8)&amp;LEFT(HEX2BIN($A$1,8),1),8))),HEX2DEC(BD40)),2),IF(AND(BH40=2,BD33=0),BIN2HEX(RIGHT(HEX2BIN(BD40,8)&amp;LEFT(HEX2BIN($A$1,8),1),8)),IF(AND(BH40=2,BD33=1),DEC2HEX(_xlfn.BITXOR(BIN2DEC(RIGHT(HEX2BIN(BD40,8)&amp;LEFT(HEX2BIN($A$1,8),1),8)),HEX2DEC($B$1))),IF(AND(BH40=3,BD33=1),DEC2HEX(_xlfn.BITXOR(_xlfn.BITXOR(BIN2DEC(RIGHT(HEX2BIN(BD40,8)&amp;LEFT(HEX2BIN($A$1,8),1),8)),HEX2DEC($B$1)),HEX2DEC(BD40))),BD40)))))),HEX2DEC(IF(AND(BI40=3,BD34=0),DEC2HEX(_xlfn.BITXOR(BIN2DEC((RIGHT(HEX2BIN(BD41,8)&amp;LEFT(HEX2BIN($A$1,8),1),8))),HEX2DEC(BD41)),2),IF(AND(BI40=2,BD34=0),BIN2HEX(RIGHT(HEX2BIN(BD41,8)&amp;LEFT(HEX2BIN($A$1,8),1),8)),IF(AND(BI40=2,BD34=1),DEC2HEX(_xlfn.BITXOR(BIN2DEC(RIGHT(HEX2BIN(BD41,8)&amp;LEFT(HEX2BIN($A$1,8),1),8)),HEX2DEC($B$1))),IF(AND(BI40=3,BD34=1),DEC2HEX(_xlfn.BITXOR(_xlfn.BITXOR(BIN2DEC(RIGHT(HEX2BIN(BD41,8)&amp;LEFT(HEX2BIN($A$1,8),1),8)),HEX2DEC($B$1)),HEX2DEC(BD41))),BD41)))))),HEX2DEC(IF(AND(BJ40=3,BD35=0),DEC2HEX(_xlfn.BITXOR(BIN2DEC((RIGHT(HEX2BIN(BD42,8)&amp;LEFT(HEX2BIN($A$1,8),1),8))),HEX2DEC(BD42)),2),IF(AND(BJ40=2,BD35=0),BIN2HEX(RIGHT(HEX2BIN(BD42,8)&amp;LEFT(HEX2BIN($A$1,8),1),8)),IF(AND(BJ40=2,BD35=1),DEC2HEX(_xlfn.BITXOR(BIN2DEC(RIGHT(HEX2BIN(BD42,8)&amp;LEFT(HEX2BIN($A$1,8),1),8)),HEX2DEC($B$1))),IF(AND(BJ40=3,BD35=1),DEC2HEX(_xlfn.BITXOR(_xlfn.BITXOR(BIN2DEC(RIGHT(HEX2BIN(BD42,8)&amp;LEFT(HEX2BIN($A$1,8),1),8)),HEX2DEC($B$1)),HEX2DEC(BD42))),BD42)))))))</f>
        <v>B</v>
      </c>
      <c r="BO40" s="44" t="str">
        <f>DEC2HEX(_xlfn.BITXOR(_xlfn.BITXOR(_xlfn.BITXOR(HEX2DEC(IF(AND(BG40=3,BE32=0),DEC2HEX(_xlfn.BITXOR(BIN2DEC((RIGHT(HEX2BIN(BE39,8)&amp;LEFT(HEX2BIN($A$1,8),1),8))),HEX2DEC(BE39)),2),IF(AND(BG40=2,BE32=0),BIN2HEX(RIGHT(HEX2BIN(BE39,8)&amp;LEFT(HEX2BIN($A$1,8),1),8)),IF(AND(BG40=2,BE32=1),DEC2HEX(_xlfn.BITXOR(BIN2DEC(RIGHT(HEX2BIN(BE39,8)&amp;LEFT(HEX2BIN($A$1,8),1),8)),HEX2DEC($B$1))),IF(AND(BG40=3,BE32=1),DEC2HEX(_xlfn.BITXOR(_xlfn.BITXOR(BIN2DEC(RIGHT(HEX2BIN(BE39,8)&amp;LEFT(HEX2BIN($A$1,8),1),8)),HEX2DEC($B$1)),HEX2DEC(BE39))),BE39))))),HEX2DEC(IF(AND(BH40=3,BE33=0),DEC2HEX(_xlfn.BITXOR(BIN2DEC((RIGHT(HEX2BIN(BE40,8)&amp;LEFT(HEX2BIN($A$1,8),1),8))),HEX2DEC(BE40)),2),IF(AND(BH40=2,BE33=0),BIN2HEX(RIGHT(HEX2BIN(BE40,8)&amp;LEFT(HEX2BIN($A$1,8),1),8)),IF(AND(BH40=2,BE33=1),DEC2HEX(_xlfn.BITXOR(BIN2DEC(RIGHT(HEX2BIN(BE40,8)&amp;LEFT(HEX2BIN($A$1,8),1),8)),HEX2DEC($B$1))),IF(AND(BH40=3,BE33=1),DEC2HEX(_xlfn.BITXOR(_xlfn.BITXOR(BIN2DEC(RIGHT(HEX2BIN(BE40,8)&amp;LEFT(HEX2BIN($A$1,8),1),8)),HEX2DEC($B$1)),HEX2DEC(BE40))),BE40)))))),HEX2DEC(IF(AND(BI40=3,BE34=0),DEC2HEX(_xlfn.BITXOR(BIN2DEC((RIGHT(HEX2BIN(BE41,8)&amp;LEFT(HEX2BIN($A$1,8),1),8))),HEX2DEC(BE41)),2),IF(AND(BI40=2,BE34=0),BIN2HEX(RIGHT(HEX2BIN(BE41,8)&amp;LEFT(HEX2BIN($A$1,8),1),8)),IF(AND(BI40=2,BE34=1),DEC2HEX(_xlfn.BITXOR(BIN2DEC(RIGHT(HEX2BIN(BE41,8)&amp;LEFT(HEX2BIN($A$1,8),1),8)),HEX2DEC($B$1))),IF(AND(BI40=3,BE34=1),DEC2HEX(_xlfn.BITXOR(_xlfn.BITXOR(BIN2DEC(RIGHT(HEX2BIN(BE41,8)&amp;LEFT(HEX2BIN($A$1,8),1),8)),HEX2DEC($B$1)),HEX2DEC(BE41))),BE41)))))),HEX2DEC(IF(AND(BJ40=3,BE35=0),DEC2HEX(_xlfn.BITXOR(BIN2DEC((RIGHT(HEX2BIN(BE42,8)&amp;LEFT(HEX2BIN($A$1,8),1),8))),HEX2DEC(BE42)),2),IF(AND(BJ40=2,BE35=0),BIN2HEX(RIGHT(HEX2BIN(BE42,8)&amp;LEFT(HEX2BIN($A$1,8),1),8)),IF(AND(BJ40=2,BE35=1),DEC2HEX(_xlfn.BITXOR(BIN2DEC(RIGHT(HEX2BIN(BE42,8)&amp;LEFT(HEX2BIN($A$1,8),1),8)),HEX2DEC($B$1))),IF(AND(BJ40=3,BE35=1),DEC2HEX(_xlfn.BITXOR(_xlfn.BITXOR(BIN2DEC(RIGHT(HEX2BIN(BE42,8)&amp;LEFT(HEX2BIN($A$1,8),1),8)),HEX2DEC($B$1)),HEX2DEC(BE42))),BE42)))))))</f>
        <v>9</v>
      </c>
      <c r="BQ40" s="57">
        <v>30</v>
      </c>
      <c r="BR40" s="57" t="s">
        <v>84</v>
      </c>
      <c r="BS40" s="57" t="s">
        <v>111</v>
      </c>
      <c r="BT40" s="57" t="s">
        <v>167</v>
      </c>
      <c r="BU40" s="57"/>
      <c r="BV40" s="59">
        <v>3</v>
      </c>
      <c r="BW40" s="59">
        <v>1</v>
      </c>
      <c r="BX40" s="59">
        <v>1</v>
      </c>
      <c r="BY40" s="59">
        <v>2</v>
      </c>
      <c r="BZ40" s="58"/>
      <c r="CA40" s="57" t="str">
        <f>DEC2HEX(_xlfn.BITXOR(_xlfn.BITXOR(_xlfn.BITXOR(HEX2DEC(IF(AND(BV40=3,BQ30=0),DEC2HEX(_xlfn.BITXOR(BIN2DEC((RIGHT(HEX2BIN(BQ37,8)&amp;LEFT(HEX2BIN($A$1,8),1),8))),HEX2DEC(BQ37)),2),IF(AND(BV40=2,BQ30=0),BIN2HEX(RIGHT(HEX2BIN(BQ37,8)&amp;LEFT(HEX2BIN($A$1,8),1),8)),IF(AND(BV40=2,BQ30=1),DEC2HEX(_xlfn.BITXOR(BIN2DEC(RIGHT(HEX2BIN(BQ37,8)&amp;LEFT(HEX2BIN($A$1,8),1),8)),HEX2DEC($B$1))),IF(AND(BV40=3,BQ30=1),DEC2HEX(_xlfn.BITXOR(_xlfn.BITXOR(BIN2DEC(RIGHT(HEX2BIN(BQ37,8)&amp;LEFT(HEX2BIN($A$1,8),1),8)),HEX2DEC($B$1)),HEX2DEC(BQ37))),BQ37))))),HEX2DEC(IF(AND(BW40=3,BQ31=0),DEC2HEX(_xlfn.BITXOR(BIN2DEC((RIGHT(HEX2BIN(BQ38,8)&amp;LEFT(HEX2BIN($A$1,8),1),8))),HEX2DEC(BQ38)),2),IF(AND(BW40=2,BQ31=0),BIN2HEX(RIGHT(HEX2BIN(BQ38,8)&amp;LEFT(HEX2BIN($A$1,8),1),8)),IF(AND(BW40=2,BQ31=1),DEC2HEX(_xlfn.BITXOR(BIN2DEC(RIGHT(HEX2BIN(BQ38,8)&amp;LEFT(HEX2BIN($A$1,8),1),8)),HEX2DEC($B$1))),IF(AND(BW40=3,BQ31=1),DEC2HEX(_xlfn.BITXOR(_xlfn.BITXOR(BIN2DEC(RIGHT(HEX2BIN(BQ38,8)&amp;LEFT(HEX2BIN($A$1,8),1),8)),HEX2DEC($B$1)),HEX2DEC(BQ38))),BQ38)))))),HEX2DEC(IF(AND(BX40=3,BQ32=0),DEC2HEX(_xlfn.BITXOR(BIN2DEC((RIGHT(HEX2BIN(BQ39,8)&amp;LEFT(HEX2BIN($A$1,8),1),8))),HEX2DEC(BQ39)),2),IF(AND(BX40=2,BQ32=0),BIN2HEX(RIGHT(HEX2BIN(BQ39,8)&amp;LEFT(HEX2BIN($A$1,8),1),8)),IF(AND(BX40=2,BQ32=1),DEC2HEX(_xlfn.BITXOR(BIN2DEC(RIGHT(HEX2BIN(BQ39,8)&amp;LEFT(HEX2BIN($A$1,8),1),8)),HEX2DEC($B$1))),IF(AND(BX40=3,BQ32=1),DEC2HEX(_xlfn.BITXOR(_xlfn.BITXOR(BIN2DEC(RIGHT(HEX2BIN(BQ39,8)&amp;LEFT(HEX2BIN($A$1,8),1),8)),HEX2DEC($B$1)),HEX2DEC(BQ39))),BQ39)))))),HEX2DEC(IF(AND(BY40=3,BQ33=0),DEC2HEX(_xlfn.BITXOR(BIN2DEC((RIGHT(HEX2BIN(BQ40,8)&amp;LEFT(HEX2BIN($A$1,8),1),8))),HEX2DEC(BQ40)),2),IF(AND(BY40=2,BQ33=0),BIN2HEX(RIGHT(HEX2BIN(BQ40,8)&amp;LEFT(HEX2BIN($A$1,8),1),8)),IF(AND(BY40=2,BQ33=1),DEC2HEX(_xlfn.BITXOR(BIN2DEC(RIGHT(HEX2BIN(BQ40,8)&amp;LEFT(HEX2BIN($A$1,8),1),8)),HEX2DEC($B$1))),IF(AND(BY40=3,BQ33=1),DEC2HEX(_xlfn.BITXOR(_xlfn.BITXOR(BIN2DEC(RIGHT(HEX2BIN(BQ40,8)&amp;LEFT(HEX2BIN($A$1,8),1),8)),HEX2DEC($B$1)),HEX2DEC(BQ40))),BQ40)))))))</f>
        <v>E5</v>
      </c>
      <c r="CB40" s="57" t="str">
        <f>DEC2HEX(_xlfn.BITXOR(_xlfn.BITXOR(_xlfn.BITXOR(HEX2DEC(IF(AND(BV40=3,BR30=0),DEC2HEX(_xlfn.BITXOR(BIN2DEC((RIGHT(HEX2BIN(BR37,8)&amp;LEFT(HEX2BIN($A$1,8),1),8))),HEX2DEC(BR37)),2),IF(AND(BV40=2,BR30=0),BIN2HEX(RIGHT(HEX2BIN(BR37,8)&amp;LEFT(HEX2BIN($A$1,8),1),8)),IF(AND(BV40=2,BR30=1),DEC2HEX(_xlfn.BITXOR(BIN2DEC(RIGHT(HEX2BIN(BR37,8)&amp;LEFT(HEX2BIN($A$1,8),1),8)),HEX2DEC($B$1))),IF(AND(BV40=3,BR30=1),DEC2HEX(_xlfn.BITXOR(_xlfn.BITXOR(BIN2DEC(RIGHT(HEX2BIN(BR37,8)&amp;LEFT(HEX2BIN($A$1,8),1),8)),HEX2DEC($B$1)),HEX2DEC(BR37))),BR37))))),HEX2DEC(IF(AND(BW40=3,BR31=0),DEC2HEX(_xlfn.BITXOR(BIN2DEC((RIGHT(HEX2BIN(BR38,8)&amp;LEFT(HEX2BIN($A$1,8),1),8))),HEX2DEC(BR38)),2),IF(AND(BW40=2,BR31=0),BIN2HEX(RIGHT(HEX2BIN(BR38,8)&amp;LEFT(HEX2BIN($A$1,8),1),8)),IF(AND(BW40=2,BR31=1),DEC2HEX(_xlfn.BITXOR(BIN2DEC(RIGHT(HEX2BIN(BR38,8)&amp;LEFT(HEX2BIN($A$1,8),1),8)),HEX2DEC($B$1))),IF(AND(BW40=3,BR31=1),DEC2HEX(_xlfn.BITXOR(_xlfn.BITXOR(BIN2DEC(RIGHT(HEX2BIN(BR38,8)&amp;LEFT(HEX2BIN($A$1,8),1),8)),HEX2DEC($B$1)),HEX2DEC(BR38))),BR38)))))),HEX2DEC(IF(AND(BX40=3,BR32=0),DEC2HEX(_xlfn.BITXOR(BIN2DEC((RIGHT(HEX2BIN(BR39,8)&amp;LEFT(HEX2BIN($A$1,8),1),8))),HEX2DEC(BR39)),2),IF(AND(BX40=2,BR32=0),BIN2HEX(RIGHT(HEX2BIN(BR39,8)&amp;LEFT(HEX2BIN($A$1,8),1),8)),IF(AND(BX40=2,BR32=1),DEC2HEX(_xlfn.BITXOR(BIN2DEC(RIGHT(HEX2BIN(BR39,8)&amp;LEFT(HEX2BIN($A$1,8),1),8)),HEX2DEC($B$1))),IF(AND(BX40=3,BR32=1),DEC2HEX(_xlfn.BITXOR(_xlfn.BITXOR(BIN2DEC(RIGHT(HEX2BIN(BR39,8)&amp;LEFT(HEX2BIN($A$1,8),1),8)),HEX2DEC($B$1)),HEX2DEC(BR39))),BR39)))))),HEX2DEC(IF(AND(BY40=3,BR33=0),DEC2HEX(_xlfn.BITXOR(BIN2DEC((RIGHT(HEX2BIN(BR40,8)&amp;LEFT(HEX2BIN($A$1,8),1),8))),HEX2DEC(BR40)),2),IF(AND(BY40=2,BR33=0),BIN2HEX(RIGHT(HEX2BIN(BR40,8)&amp;LEFT(HEX2BIN($A$1,8),1),8)),IF(AND(BY40=2,BR33=1),DEC2HEX(_xlfn.BITXOR(BIN2DEC(RIGHT(HEX2BIN(BR40,8)&amp;LEFT(HEX2BIN($A$1,8),1),8)),HEX2DEC($B$1))),IF(AND(BY40=3,BR33=1),DEC2HEX(_xlfn.BITXOR(_xlfn.BITXOR(BIN2DEC(RIGHT(HEX2BIN(BR40,8)&amp;LEFT(HEX2BIN($A$1,8),1),8)),HEX2DEC($B$1)),HEX2DEC(BR40))),BR40)))))))</f>
        <v>9A</v>
      </c>
      <c r="CC40" s="57" t="str">
        <f>DEC2HEX(_xlfn.BITXOR(_xlfn.BITXOR(_xlfn.BITXOR(HEX2DEC(IF(AND(BV40=3,BS30=0),DEC2HEX(_xlfn.BITXOR(BIN2DEC((RIGHT(HEX2BIN(BS37,8)&amp;LEFT(HEX2BIN($A$1,8),1),8))),HEX2DEC(BS37)),2),IF(AND(BV40=2,BS30=0),BIN2HEX(RIGHT(HEX2BIN(BS37,8)&amp;LEFT(HEX2BIN($A$1,8),1),8)),IF(AND(BV40=2,BS30=1),DEC2HEX(_xlfn.BITXOR(BIN2DEC(RIGHT(HEX2BIN(BS37,8)&amp;LEFT(HEX2BIN($A$1,8),1),8)),HEX2DEC($B$1))),IF(AND(BV40=3,BS30=1),DEC2HEX(_xlfn.BITXOR(_xlfn.BITXOR(BIN2DEC(RIGHT(HEX2BIN(BS37,8)&amp;LEFT(HEX2BIN($A$1,8),1),8)),HEX2DEC($B$1)),HEX2DEC(BS37))),BS37))))),HEX2DEC(IF(AND(BW40=3,BS31=0),DEC2HEX(_xlfn.BITXOR(BIN2DEC((RIGHT(HEX2BIN(BS38,8)&amp;LEFT(HEX2BIN($A$1,8),1),8))),HEX2DEC(BS38)),2),IF(AND(BW40=2,BS31=0),BIN2HEX(RIGHT(HEX2BIN(BS38,8)&amp;LEFT(HEX2BIN($A$1,8),1),8)),IF(AND(BW40=2,BS31=1),DEC2HEX(_xlfn.BITXOR(BIN2DEC(RIGHT(HEX2BIN(BS38,8)&amp;LEFT(HEX2BIN($A$1,8),1),8)),HEX2DEC($B$1))),IF(AND(BW40=3,BS31=1),DEC2HEX(_xlfn.BITXOR(_xlfn.BITXOR(BIN2DEC(RIGHT(HEX2BIN(BS38,8)&amp;LEFT(HEX2BIN($A$1,8),1),8)),HEX2DEC($B$1)),HEX2DEC(BS38))),BS38)))))),HEX2DEC(IF(AND(BX40=3,BS32=0),DEC2HEX(_xlfn.BITXOR(BIN2DEC((RIGHT(HEX2BIN(BS39,8)&amp;LEFT(HEX2BIN($A$1,8),1),8))),HEX2DEC(BS39)),2),IF(AND(BX40=2,BS32=0),BIN2HEX(RIGHT(HEX2BIN(BS39,8)&amp;LEFT(HEX2BIN($A$1,8),1),8)),IF(AND(BX40=2,BS32=1),DEC2HEX(_xlfn.BITXOR(BIN2DEC(RIGHT(HEX2BIN(BS39,8)&amp;LEFT(HEX2BIN($A$1,8),1),8)),HEX2DEC($B$1))),IF(AND(BX40=3,BS32=1),DEC2HEX(_xlfn.BITXOR(_xlfn.BITXOR(BIN2DEC(RIGHT(HEX2BIN(BS39,8)&amp;LEFT(HEX2BIN($A$1,8),1),8)),HEX2DEC($B$1)),HEX2DEC(BS39))),BS39)))))),HEX2DEC(IF(AND(BY40=3,BS33=0),DEC2HEX(_xlfn.BITXOR(BIN2DEC((RIGHT(HEX2BIN(BS40,8)&amp;LEFT(HEX2BIN($A$1,8),1),8))),HEX2DEC(BS40)),2),IF(AND(BY40=2,BS33=0),BIN2HEX(RIGHT(HEX2BIN(BS40,8)&amp;LEFT(HEX2BIN($A$1,8),1),8)),IF(AND(BY40=2,BS33=1),DEC2HEX(_xlfn.BITXOR(BIN2DEC(RIGHT(HEX2BIN(BS40,8)&amp;LEFT(HEX2BIN($A$1,8),1),8)),HEX2DEC($B$1))),IF(AND(BY40=3,BS33=1),DEC2HEX(_xlfn.BITXOR(_xlfn.BITXOR(BIN2DEC(RIGHT(HEX2BIN(BS40,8)&amp;LEFT(HEX2BIN($A$1,8),1),8)),HEX2DEC($B$1)),HEX2DEC(BS40))),BS40)))))))</f>
        <v>7A</v>
      </c>
      <c r="CD40" s="57" t="str">
        <f>DEC2HEX(_xlfn.BITXOR(_xlfn.BITXOR(_xlfn.BITXOR(HEX2DEC(IF(AND(BV40=3,BT30=0),DEC2HEX(_xlfn.BITXOR(BIN2DEC((RIGHT(HEX2BIN(BT37,8)&amp;LEFT(HEX2BIN($A$1,8),1),8))),HEX2DEC(BT37)),2),IF(AND(BV40=2,BT30=0),BIN2HEX(RIGHT(HEX2BIN(BT37,8)&amp;LEFT(HEX2BIN($A$1,8),1),8)),IF(AND(BV40=2,BT30=1),DEC2HEX(_xlfn.BITXOR(BIN2DEC(RIGHT(HEX2BIN(BT37,8)&amp;LEFT(HEX2BIN($A$1,8),1),8)),HEX2DEC($B$1))),IF(AND(BV40=3,BT30=1),DEC2HEX(_xlfn.BITXOR(_xlfn.BITXOR(BIN2DEC(RIGHT(HEX2BIN(BT37,8)&amp;LEFT(HEX2BIN($A$1,8),1),8)),HEX2DEC($B$1)),HEX2DEC(BT37))),BT37))))),HEX2DEC(IF(AND(BW40=3,BT31=0),DEC2HEX(_xlfn.BITXOR(BIN2DEC((RIGHT(HEX2BIN(BT38,8)&amp;LEFT(HEX2BIN($A$1,8),1),8))),HEX2DEC(BT38)),2),IF(AND(BW40=2,BT31=0),BIN2HEX(RIGHT(HEX2BIN(BT38,8)&amp;LEFT(HEX2BIN($A$1,8),1),8)),IF(AND(BW40=2,BT31=1),DEC2HEX(_xlfn.BITXOR(BIN2DEC(RIGHT(HEX2BIN(BT38,8)&amp;LEFT(HEX2BIN($A$1,8),1),8)),HEX2DEC($B$1))),IF(AND(BW40=3,BT31=1),DEC2HEX(_xlfn.BITXOR(_xlfn.BITXOR(BIN2DEC(RIGHT(HEX2BIN(BT38,8)&amp;LEFT(HEX2BIN($A$1,8),1),8)),HEX2DEC($B$1)),HEX2DEC(BT38))),BT38)))))),HEX2DEC(IF(AND(BX40=3,BT32=0),DEC2HEX(_xlfn.BITXOR(BIN2DEC((RIGHT(HEX2BIN(BT39,8)&amp;LEFT(HEX2BIN($A$1,8),1),8))),HEX2DEC(BT39)),2),IF(AND(BX40=2,BT32=0),BIN2HEX(RIGHT(HEX2BIN(BT39,8)&amp;LEFT(HEX2BIN($A$1,8),1),8)),IF(AND(BX40=2,BT32=1),DEC2HEX(_xlfn.BITXOR(BIN2DEC(RIGHT(HEX2BIN(BT39,8)&amp;LEFT(HEX2BIN($A$1,8),1),8)),HEX2DEC($B$1))),IF(AND(BX40=3,BT32=1),DEC2HEX(_xlfn.BITXOR(_xlfn.BITXOR(BIN2DEC(RIGHT(HEX2BIN(BT39,8)&amp;LEFT(HEX2BIN($A$1,8),1),8)),HEX2DEC($B$1)),HEX2DEC(BT39))),BT39)))))),HEX2DEC(IF(AND(BY40=3,BT33=0),DEC2HEX(_xlfn.BITXOR(BIN2DEC((RIGHT(HEX2BIN(BT40,8)&amp;LEFT(HEX2BIN($A$1,8),1),8))),HEX2DEC(BT40)),2),IF(AND(BY40=2,BT33=0),BIN2HEX(RIGHT(HEX2BIN(BT40,8)&amp;LEFT(HEX2BIN($A$1,8),1),8)),IF(AND(BY40=2,BT33=1),DEC2HEX(_xlfn.BITXOR(BIN2DEC(RIGHT(HEX2BIN(BT40,8)&amp;LEFT(HEX2BIN($A$1,8),1),8)),HEX2DEC($B$1))),IF(AND(BY40=3,BT33=1),DEC2HEX(_xlfn.BITXOR(_xlfn.BITXOR(BIN2DEC(RIGHT(HEX2BIN(BT40,8)&amp;LEFT(HEX2BIN($A$1,8),1),8)),HEX2DEC($B$1)),HEX2DEC(BT40))),BT40)))))))</f>
        <v>4C</v>
      </c>
    </row>
    <row r="41" spans="1:82" x14ac:dyDescent="0.25">
      <c r="A41" s="9" t="str">
        <f t="shared" si="75"/>
        <v>29</v>
      </c>
      <c r="B41" s="10"/>
      <c r="C41" s="8" t="s">
        <v>107</v>
      </c>
      <c r="D41" s="10"/>
      <c r="E41" s="8" t="str">
        <f t="shared" si="33"/>
        <v>D6</v>
      </c>
      <c r="F41" s="10"/>
      <c r="G41" s="10"/>
      <c r="H41" s="82" t="str">
        <f t="shared" si="2"/>
        <v>73</v>
      </c>
      <c r="I41" s="73"/>
      <c r="J41" s="11" t="str">
        <f t="shared" si="34"/>
        <v>80</v>
      </c>
      <c r="K41" s="83" t="str">
        <f t="shared" si="51"/>
        <v>F3</v>
      </c>
      <c r="L41" s="73"/>
      <c r="M41" s="73" t="str">
        <f t="shared" si="36"/>
        <v>C5</v>
      </c>
      <c r="N41" s="83" t="str">
        <f t="shared" si="37"/>
        <v>36</v>
      </c>
      <c r="O41" s="73"/>
      <c r="P41" s="73" t="str">
        <f t="shared" si="38"/>
        <v>3E</v>
      </c>
      <c r="Q41" s="84" t="str">
        <f t="shared" si="39"/>
        <v>8</v>
      </c>
      <c r="R41" s="10"/>
      <c r="S41" s="8">
        <v>30</v>
      </c>
      <c r="T41" s="11"/>
      <c r="U41" s="8"/>
      <c r="V41" s="8"/>
      <c r="W41" s="11"/>
      <c r="X41" s="8"/>
      <c r="Y41" s="8"/>
      <c r="Z41" s="11"/>
      <c r="AA41" s="8"/>
      <c r="AB41" s="8"/>
      <c r="AC41" s="11"/>
      <c r="AD41" s="8"/>
      <c r="AE41" s="8"/>
      <c r="AH41" s="63">
        <f t="shared" si="76"/>
        <v>43</v>
      </c>
      <c r="AI41" s="63" t="str">
        <f t="shared" si="69"/>
        <v>ED</v>
      </c>
      <c r="AJ41" s="63">
        <f t="shared" si="69"/>
        <v>27</v>
      </c>
      <c r="AK41" s="63">
        <f t="shared" si="69"/>
        <v>2</v>
      </c>
      <c r="AM41" s="74" t="str">
        <f t="shared" si="77"/>
        <v>D6</v>
      </c>
      <c r="AN41" s="74" t="str">
        <f t="shared" si="70"/>
        <v>38</v>
      </c>
      <c r="AO41" s="74" t="str">
        <f t="shared" si="70"/>
        <v>E0</v>
      </c>
      <c r="AP41" s="74" t="str">
        <f t="shared" si="70"/>
        <v>BE</v>
      </c>
      <c r="AR41" s="65" t="str">
        <f t="shared" si="78"/>
        <v>95</v>
      </c>
      <c r="AS41" s="65" t="str">
        <f t="shared" si="71"/>
        <v>D5</v>
      </c>
      <c r="AT41" s="65" t="str">
        <f t="shared" si="71"/>
        <v>C7</v>
      </c>
      <c r="AU41" s="65" t="str">
        <f t="shared" si="71"/>
        <v>BC</v>
      </c>
      <c r="AW41" s="1" t="s">
        <v>173</v>
      </c>
      <c r="AX41" s="1">
        <v>3</v>
      </c>
      <c r="AY41" s="1" t="s">
        <v>97</v>
      </c>
      <c r="AZ41" s="1">
        <v>65</v>
      </c>
      <c r="BB41" s="10" t="str">
        <f>AY41</f>
        <v>C6</v>
      </c>
      <c r="BC41" s="10">
        <f>AZ41</f>
        <v>65</v>
      </c>
      <c r="BD41" s="10" t="str">
        <f>AW41</f>
        <v>2A</v>
      </c>
      <c r="BE41" s="29">
        <f>AX41</f>
        <v>3</v>
      </c>
      <c r="BF41" s="10"/>
      <c r="BG41" s="34">
        <v>1</v>
      </c>
      <c r="BH41" s="34">
        <v>1</v>
      </c>
      <c r="BI41" s="34">
        <v>2</v>
      </c>
      <c r="BJ41" s="34">
        <v>3</v>
      </c>
      <c r="BK41" s="10"/>
      <c r="BL41" s="44" t="str">
        <f>DEC2HEX(_xlfn.BITXOR(_xlfn.BITXOR(_xlfn.BITXOR(HEX2DEC(IF(AND(BG41=3,BB32=0),DEC2HEX(_xlfn.BITXOR(BIN2DEC((RIGHT(HEX2BIN(BB39,8)&amp;LEFT(HEX2BIN($A$1,8),1),8))),HEX2DEC(BB39)),2),IF(AND(BG41=2,BB32=0),BIN2HEX(RIGHT(HEX2BIN(BB39,8)&amp;LEFT(HEX2BIN($A$1,8),1),8)),IF(AND(BG41=2,BB32=1),DEC2HEX(_xlfn.BITXOR(BIN2DEC(RIGHT(HEX2BIN(BB39,8)&amp;LEFT(HEX2BIN($A$1,8),1),8)),HEX2DEC($B$1))),IF(AND(BG41=3,BB32=1),DEC2HEX(_xlfn.BITXOR(_xlfn.BITXOR(BIN2DEC(RIGHT(HEX2BIN(BB39,8)&amp;LEFT(HEX2BIN($A$1,8),1),8)),HEX2DEC($B$1)),HEX2DEC(BB39))),BB39))))),HEX2DEC(IF(AND(BH41=3,BB33=0),DEC2HEX(_xlfn.BITXOR(BIN2DEC((RIGHT(HEX2BIN(BB40,8)&amp;LEFT(HEX2BIN($A$1,8),1),8))),HEX2DEC(BB40)),2),IF(AND(BH41=2,BB33=0),BIN2HEX(RIGHT(HEX2BIN(BB40,8)&amp;LEFT(HEX2BIN($A$1,8),1),8)),IF(AND(BH41=2,BB33=1),DEC2HEX(_xlfn.BITXOR(BIN2DEC(RIGHT(HEX2BIN(BB40,8)&amp;LEFT(HEX2BIN($A$1,8),1),8)),HEX2DEC($B$1))),IF(AND(BH41=3,BB33=1),DEC2HEX(_xlfn.BITXOR(_xlfn.BITXOR(BIN2DEC(RIGHT(HEX2BIN(BB40,8)&amp;LEFT(HEX2BIN($A$1,8),1),8)),HEX2DEC($B$1)),HEX2DEC(BB40))),BB40)))))),HEX2DEC(IF(AND(BI41=3,BB34=0),DEC2HEX(_xlfn.BITXOR(BIN2DEC((RIGHT(HEX2BIN(BB41,8)&amp;LEFT(HEX2BIN($A$1,8),1),8))),HEX2DEC(BB41)),2),IF(AND(BI41=2,BB34=0),BIN2HEX(RIGHT(HEX2BIN(BB41,8)&amp;LEFT(HEX2BIN($A$1,8),1),8)),IF(AND(BI41=2,BB34=1),DEC2HEX(_xlfn.BITXOR(BIN2DEC(RIGHT(HEX2BIN(BB41,8)&amp;LEFT(HEX2BIN($A$1,8),1),8)),HEX2DEC($B$1))),IF(AND(BI41=3,BB34=1),DEC2HEX(_xlfn.BITXOR(_xlfn.BITXOR(BIN2DEC(RIGHT(HEX2BIN(BB41,8)&amp;LEFT(HEX2BIN($A$1,8),1),8)),HEX2DEC($B$1)),HEX2DEC(BB41))),BB41)))))),HEX2DEC(IF(AND(BJ41=3,BB35=0),DEC2HEX(_xlfn.BITXOR(BIN2DEC((RIGHT(HEX2BIN(BB42,8)&amp;LEFT(HEX2BIN($A$1,8),1),8))),HEX2DEC(BB42)),2),IF(AND(BJ41=2,BB35=0),BIN2HEX(RIGHT(HEX2BIN(BB42,8)&amp;LEFT(HEX2BIN($A$1,8),1),8)),IF(AND(BJ41=2,BB35=1),DEC2HEX(_xlfn.BITXOR(BIN2DEC(RIGHT(HEX2BIN(BB42,8)&amp;LEFT(HEX2BIN($A$1,8),1),8)),HEX2DEC($B$1))),IF(AND(BJ41=3,BB35=1),DEC2HEX(_xlfn.BITXOR(_xlfn.BITXOR(BIN2DEC(RIGHT(HEX2BIN(BB42,8)&amp;LEFT(HEX2BIN($A$1,8),1),8)),HEX2DEC($B$1)),HEX2DEC(BB42))),BB42)))))))</f>
        <v>84</v>
      </c>
      <c r="BM41" s="44" t="str">
        <f>DEC2HEX(_xlfn.BITXOR(_xlfn.BITXOR(_xlfn.BITXOR(HEX2DEC(IF(AND(BG41=3,BC32=0),DEC2HEX(_xlfn.BITXOR(BIN2DEC((RIGHT(HEX2BIN(BC39,8)&amp;LEFT(HEX2BIN($A$1,8),1),8))),HEX2DEC(BC39)),2),IF(AND(BG41=2,BC32=0),BIN2HEX(RIGHT(HEX2BIN(BC39,8)&amp;LEFT(HEX2BIN($A$1,8),1),8)),IF(AND(BG41=2,BC32=1),DEC2HEX(_xlfn.BITXOR(BIN2DEC(RIGHT(HEX2BIN(BC39,8)&amp;LEFT(HEX2BIN($A$1,8),1),8)),HEX2DEC($B$1))),IF(AND(BG41=3,BC32=1),DEC2HEX(_xlfn.BITXOR(_xlfn.BITXOR(BIN2DEC(RIGHT(HEX2BIN(BC39,8)&amp;LEFT(HEX2BIN($A$1,8),1),8)),HEX2DEC($B$1)),HEX2DEC(BC39))),BC39))))),HEX2DEC(IF(AND(BH41=3,BC33=0),DEC2HEX(_xlfn.BITXOR(BIN2DEC((RIGHT(HEX2BIN(BC40,8)&amp;LEFT(HEX2BIN($A$1,8),1),8))),HEX2DEC(BC40)),2),IF(AND(BH41=2,BC33=0),BIN2HEX(RIGHT(HEX2BIN(BC40,8)&amp;LEFT(HEX2BIN($A$1,8),1),8)),IF(AND(BH41=2,BC33=1),DEC2HEX(_xlfn.BITXOR(BIN2DEC(RIGHT(HEX2BIN(BC40,8)&amp;LEFT(HEX2BIN($A$1,8),1),8)),HEX2DEC($B$1))),IF(AND(BH41=3,BC33=1),DEC2HEX(_xlfn.BITXOR(_xlfn.BITXOR(BIN2DEC(RIGHT(HEX2BIN(BC40,8)&amp;LEFT(HEX2BIN($A$1,8),1),8)),HEX2DEC($B$1)),HEX2DEC(BC40))),BC40)))))),HEX2DEC(IF(AND(BI41=3,BC34=0),DEC2HEX(_xlfn.BITXOR(BIN2DEC((RIGHT(HEX2BIN(BC41,8)&amp;LEFT(HEX2BIN($A$1,8),1),8))),HEX2DEC(BC41)),2),IF(AND(BI41=2,BC34=0),BIN2HEX(RIGHT(HEX2BIN(BC41,8)&amp;LEFT(HEX2BIN($A$1,8),1),8)),IF(AND(BI41=2,BC34=1),DEC2HEX(_xlfn.BITXOR(BIN2DEC(RIGHT(HEX2BIN(BC41,8)&amp;LEFT(HEX2BIN($A$1,8),1),8)),HEX2DEC($B$1))),IF(AND(BI41=3,BC34=1),DEC2HEX(_xlfn.BITXOR(_xlfn.BITXOR(BIN2DEC(RIGHT(HEX2BIN(BC41,8)&amp;LEFT(HEX2BIN($A$1,8),1),8)),HEX2DEC($B$1)),HEX2DEC(BC41))),BC41)))))),HEX2DEC(IF(AND(BJ41=3,BC35=0),DEC2HEX(_xlfn.BITXOR(BIN2DEC((RIGHT(HEX2BIN(BC42,8)&amp;LEFT(HEX2BIN($A$1,8),1),8))),HEX2DEC(BC42)),2),IF(AND(BJ41=2,BC35=0),BIN2HEX(RIGHT(HEX2BIN(BC42,8)&amp;LEFT(HEX2BIN($A$1,8),1),8)),IF(AND(BJ41=2,BC35=1),DEC2HEX(_xlfn.BITXOR(BIN2DEC(RIGHT(HEX2BIN(BC42,8)&amp;LEFT(HEX2BIN($A$1,8),1),8)),HEX2DEC($B$1))),IF(AND(BJ41=3,BC35=1),DEC2HEX(_xlfn.BITXOR(_xlfn.BITXOR(BIN2DEC(RIGHT(HEX2BIN(BC42,8)&amp;LEFT(HEX2BIN($A$1,8),1),8)),HEX2DEC($B$1)),HEX2DEC(BC42))),BC42)))))))</f>
        <v>C4</v>
      </c>
      <c r="BN41" s="44" t="str">
        <f>DEC2HEX(_xlfn.BITXOR(_xlfn.BITXOR(_xlfn.BITXOR(HEX2DEC(IF(AND(BG41=3,BD32=0),DEC2HEX(_xlfn.BITXOR(BIN2DEC((RIGHT(HEX2BIN(BD39,8)&amp;LEFT(HEX2BIN($A$1,8),1),8))),HEX2DEC(BD39)),2),IF(AND(BG41=2,BD32=0),BIN2HEX(RIGHT(HEX2BIN(BD39,8)&amp;LEFT(HEX2BIN($A$1,8),1),8)),IF(AND(BG41=2,BD32=1),DEC2HEX(_xlfn.BITXOR(BIN2DEC(RIGHT(HEX2BIN(BD39,8)&amp;LEFT(HEX2BIN($A$1,8),1),8)),HEX2DEC($B$1))),IF(AND(BG41=3,BD32=1),DEC2HEX(_xlfn.BITXOR(_xlfn.BITXOR(BIN2DEC(RIGHT(HEX2BIN(BD39,8)&amp;LEFT(HEX2BIN($A$1,8),1),8)),HEX2DEC($B$1)),HEX2DEC(BD39))),BD39))))),HEX2DEC(IF(AND(BH41=3,BD33=0),DEC2HEX(_xlfn.BITXOR(BIN2DEC((RIGHT(HEX2BIN(BD40,8)&amp;LEFT(HEX2BIN($A$1,8),1),8))),HEX2DEC(BD40)),2),IF(AND(BH41=2,BD33=0),BIN2HEX(RIGHT(HEX2BIN(BD40,8)&amp;LEFT(HEX2BIN($A$1,8),1),8)),IF(AND(BH41=2,BD33=1),DEC2HEX(_xlfn.BITXOR(BIN2DEC(RIGHT(HEX2BIN(BD40,8)&amp;LEFT(HEX2BIN($A$1,8),1),8)),HEX2DEC($B$1))),IF(AND(BH41=3,BD33=1),DEC2HEX(_xlfn.BITXOR(_xlfn.BITXOR(BIN2DEC(RIGHT(HEX2BIN(BD40,8)&amp;LEFT(HEX2BIN($A$1,8),1),8)),HEX2DEC($B$1)),HEX2DEC(BD40))),BD40)))))),HEX2DEC(IF(AND(BI41=3,BD34=0),DEC2HEX(_xlfn.BITXOR(BIN2DEC((RIGHT(HEX2BIN(BD41,8)&amp;LEFT(HEX2BIN($A$1,8),1),8))),HEX2DEC(BD41)),2),IF(AND(BI41=2,BD34=0),BIN2HEX(RIGHT(HEX2BIN(BD41,8)&amp;LEFT(HEX2BIN($A$1,8),1),8)),IF(AND(BI41=2,BD34=1),DEC2HEX(_xlfn.BITXOR(BIN2DEC(RIGHT(HEX2BIN(BD41,8)&amp;LEFT(HEX2BIN($A$1,8),1),8)),HEX2DEC($B$1))),IF(AND(BI41=3,BD34=1),DEC2HEX(_xlfn.BITXOR(_xlfn.BITXOR(BIN2DEC(RIGHT(HEX2BIN(BD41,8)&amp;LEFT(HEX2BIN($A$1,8),1),8)),HEX2DEC($B$1)),HEX2DEC(BD41))),BD41)))))),HEX2DEC(IF(AND(BJ41=3,BD35=0),DEC2HEX(_xlfn.BITXOR(BIN2DEC((RIGHT(HEX2BIN(BD42,8)&amp;LEFT(HEX2BIN($A$1,8),1),8))),HEX2DEC(BD42)),2),IF(AND(BJ41=2,BD35=0),BIN2HEX(RIGHT(HEX2BIN(BD42,8)&amp;LEFT(HEX2BIN($A$1,8),1),8)),IF(AND(BJ41=2,BD35=1),DEC2HEX(_xlfn.BITXOR(BIN2DEC(RIGHT(HEX2BIN(BD42,8)&amp;LEFT(HEX2BIN($A$1,8),1),8)),HEX2DEC($B$1))),IF(AND(BJ41=3,BD35=1),DEC2HEX(_xlfn.BITXOR(_xlfn.BITXOR(BIN2DEC(RIGHT(HEX2BIN(BD42,8)&amp;LEFT(HEX2BIN($A$1,8),1),8)),HEX2DEC($B$1)),HEX2DEC(BD42))),BD42)))))))</f>
        <v>B</v>
      </c>
      <c r="BO41" s="44" t="str">
        <f>DEC2HEX(_xlfn.BITXOR(_xlfn.BITXOR(_xlfn.BITXOR(HEX2DEC(IF(AND(BG41=3,BE32=0),DEC2HEX(_xlfn.BITXOR(BIN2DEC((RIGHT(HEX2BIN(BE39,8)&amp;LEFT(HEX2BIN($A$1,8),1),8))),HEX2DEC(BE39)),2),IF(AND(BG41=2,BE32=0),BIN2HEX(RIGHT(HEX2BIN(BE39,8)&amp;LEFT(HEX2BIN($A$1,8),1),8)),IF(AND(BG41=2,BE32=1),DEC2HEX(_xlfn.BITXOR(BIN2DEC(RIGHT(HEX2BIN(BE39,8)&amp;LEFT(HEX2BIN($A$1,8),1),8)),HEX2DEC($B$1))),IF(AND(BG41=3,BE32=1),DEC2HEX(_xlfn.BITXOR(_xlfn.BITXOR(BIN2DEC(RIGHT(HEX2BIN(BE39,8)&amp;LEFT(HEX2BIN($A$1,8),1),8)),HEX2DEC($B$1)),HEX2DEC(BE39))),BE39))))),HEX2DEC(IF(AND(BH41=3,BE33=0),DEC2HEX(_xlfn.BITXOR(BIN2DEC((RIGHT(HEX2BIN(BE40,8)&amp;LEFT(HEX2BIN($A$1,8),1),8))),HEX2DEC(BE40)),2),IF(AND(BH41=2,BE33=0),BIN2HEX(RIGHT(HEX2BIN(BE40,8)&amp;LEFT(HEX2BIN($A$1,8),1),8)),IF(AND(BH41=2,BE33=1),DEC2HEX(_xlfn.BITXOR(BIN2DEC(RIGHT(HEX2BIN(BE40,8)&amp;LEFT(HEX2BIN($A$1,8),1),8)),HEX2DEC($B$1))),IF(AND(BH41=3,BE33=1),DEC2HEX(_xlfn.BITXOR(_xlfn.BITXOR(BIN2DEC(RIGHT(HEX2BIN(BE40,8)&amp;LEFT(HEX2BIN($A$1,8),1),8)),HEX2DEC($B$1)),HEX2DEC(BE40))),BE40)))))),HEX2DEC(IF(AND(BI41=3,BE34=0),DEC2HEX(_xlfn.BITXOR(BIN2DEC((RIGHT(HEX2BIN(BE41,8)&amp;LEFT(HEX2BIN($A$1,8),1),8))),HEX2DEC(BE41)),2),IF(AND(BI41=2,BE34=0),BIN2HEX(RIGHT(HEX2BIN(BE41,8)&amp;LEFT(HEX2BIN($A$1,8),1),8)),IF(AND(BI41=2,BE34=1),DEC2HEX(_xlfn.BITXOR(BIN2DEC(RIGHT(HEX2BIN(BE41,8)&amp;LEFT(HEX2BIN($A$1,8),1),8)),HEX2DEC($B$1))),IF(AND(BI41=3,BE34=1),DEC2HEX(_xlfn.BITXOR(_xlfn.BITXOR(BIN2DEC(RIGHT(HEX2BIN(BE41,8)&amp;LEFT(HEX2BIN($A$1,8),1),8)),HEX2DEC($B$1)),HEX2DEC(BE41))),BE41)))))),HEX2DEC(IF(AND(BJ41=3,BE35=0),DEC2HEX(_xlfn.BITXOR(BIN2DEC((RIGHT(HEX2BIN(BE42,8)&amp;LEFT(HEX2BIN($A$1,8),1),8))),HEX2DEC(BE42)),2),IF(AND(BJ41=2,BE35=0),BIN2HEX(RIGHT(HEX2BIN(BE42,8)&amp;LEFT(HEX2BIN($A$1,8),1),8)),IF(AND(BJ41=2,BE35=1),DEC2HEX(_xlfn.BITXOR(BIN2DEC(RIGHT(HEX2BIN(BE42,8)&amp;LEFT(HEX2BIN($A$1,8),1),8)),HEX2DEC($B$1))),IF(AND(BJ41=3,BE35=1),DEC2HEX(_xlfn.BITXOR(_xlfn.BITXOR(BIN2DEC(RIGHT(HEX2BIN(BE42,8)&amp;LEFT(HEX2BIN($A$1,8),1),8)),HEX2DEC($B$1)),HEX2DEC(BE42))),BE42)))))))</f>
        <v>3D</v>
      </c>
    </row>
    <row r="42" spans="1:82" ht="15.75" thickBot="1" x14ac:dyDescent="0.3">
      <c r="A42" s="9" t="str">
        <f>AE33</f>
        <v>71</v>
      </c>
      <c r="B42" s="10"/>
      <c r="C42" s="8" t="s">
        <v>153</v>
      </c>
      <c r="D42" s="10"/>
      <c r="E42" s="8" t="str">
        <f t="shared" si="33"/>
        <v>E8</v>
      </c>
      <c r="F42" s="10"/>
      <c r="G42" s="10"/>
      <c r="H42" s="85" t="str">
        <f t="shared" si="2"/>
        <v>4B</v>
      </c>
      <c r="I42" s="86"/>
      <c r="J42" s="87" t="str">
        <f t="shared" si="34"/>
        <v>A3</v>
      </c>
      <c r="K42" s="88" t="str">
        <f t="shared" si="51"/>
        <v>E8</v>
      </c>
      <c r="L42" s="86"/>
      <c r="M42" s="86" t="str">
        <f t="shared" si="36"/>
        <v>11</v>
      </c>
      <c r="N42" s="88" t="str">
        <f t="shared" si="37"/>
        <v>F9</v>
      </c>
      <c r="O42" s="86"/>
      <c r="P42" s="86" t="str">
        <f t="shared" si="38"/>
        <v>3</v>
      </c>
      <c r="Q42" s="89" t="str">
        <f t="shared" si="39"/>
        <v>FA</v>
      </c>
      <c r="R42" s="10"/>
      <c r="S42" s="8" t="s">
        <v>118</v>
      </c>
      <c r="T42" s="11"/>
      <c r="U42" s="8"/>
      <c r="V42" s="8"/>
      <c r="W42" s="11"/>
      <c r="X42" s="8"/>
      <c r="Y42" s="8"/>
      <c r="Z42" s="11"/>
      <c r="AA42" s="8"/>
      <c r="AB42" s="8"/>
      <c r="AC42" s="11"/>
      <c r="AD42" s="8"/>
      <c r="AE42" s="8"/>
      <c r="AH42" s="63">
        <f t="shared" si="76"/>
        <v>74</v>
      </c>
      <c r="AI42" s="63" t="str">
        <f t="shared" si="69"/>
        <v>8D</v>
      </c>
      <c r="AJ42" s="63" t="str">
        <f t="shared" si="69"/>
        <v>C5</v>
      </c>
      <c r="AK42" s="63">
        <f t="shared" si="69"/>
        <v>68</v>
      </c>
      <c r="AM42" s="74" t="str">
        <f t="shared" si="77"/>
        <v>6D</v>
      </c>
      <c r="AN42" s="74" t="str">
        <f t="shared" si="70"/>
        <v>AB</v>
      </c>
      <c r="AO42" s="74" t="str">
        <f t="shared" si="70"/>
        <v>97</v>
      </c>
      <c r="AP42" s="74" t="str">
        <f t="shared" si="70"/>
        <v>C6</v>
      </c>
      <c r="AR42" s="65" t="str">
        <f t="shared" si="78"/>
        <v>19</v>
      </c>
      <c r="AS42" s="65" t="str">
        <f t="shared" si="71"/>
        <v>26</v>
      </c>
      <c r="AT42" s="65" t="str">
        <f t="shared" si="71"/>
        <v>52</v>
      </c>
      <c r="AU42" s="65" t="str">
        <f t="shared" si="71"/>
        <v>AE</v>
      </c>
      <c r="AW42" s="1" t="s">
        <v>168</v>
      </c>
      <c r="AX42" s="1" t="s">
        <v>228</v>
      </c>
      <c r="AY42" s="1">
        <v>0</v>
      </c>
      <c r="AZ42" s="1" t="s">
        <v>131</v>
      </c>
      <c r="BB42" s="10" t="str">
        <f>AZ42</f>
        <v>E4</v>
      </c>
      <c r="BC42" s="10" t="str">
        <f>AW42</f>
        <v>D4</v>
      </c>
      <c r="BD42" s="10" t="str">
        <f t="shared" ref="BD42" si="81">AX42</f>
        <v>F7</v>
      </c>
      <c r="BE42" s="30">
        <f t="shared" ref="BE42" si="82">AY42</f>
        <v>0</v>
      </c>
      <c r="BF42" s="10"/>
      <c r="BG42" s="31">
        <v>3</v>
      </c>
      <c r="BH42" s="32">
        <v>1</v>
      </c>
      <c r="BI42" s="32">
        <v>1</v>
      </c>
      <c r="BJ42" s="33">
        <v>2</v>
      </c>
      <c r="BK42" s="10"/>
      <c r="BL42" s="44" t="str">
        <f>DEC2HEX(_xlfn.BITXOR(_xlfn.BITXOR(_xlfn.BITXOR(HEX2DEC(IF(AND(BG42=3,BB32=0),DEC2HEX(_xlfn.BITXOR(BIN2DEC((RIGHT(HEX2BIN(BB39,8)&amp;LEFT(HEX2BIN($A$1,8),1),8))),HEX2DEC(BB39)),2),IF(AND(BG42=2,BB32=0),BIN2HEX(RIGHT(HEX2BIN(BB39,8)&amp;LEFT(HEX2BIN($A$1,8),1),8)),IF(AND(BG42=2,BB32=1),DEC2HEX(_xlfn.BITXOR(BIN2DEC(RIGHT(HEX2BIN(BB39,8)&amp;LEFT(HEX2BIN($A$1,8),1),8)),HEX2DEC($B$1))),IF(AND(BG42=3,BB32=1),DEC2HEX(_xlfn.BITXOR(_xlfn.BITXOR(BIN2DEC(RIGHT(HEX2BIN(BB39,8)&amp;LEFT(HEX2BIN($A$1,8),1),8)),HEX2DEC($B$1)),HEX2DEC(BB39))),BB39))))),HEX2DEC(IF(AND(BH42=3,BB33=0),DEC2HEX(_xlfn.BITXOR(BIN2DEC((RIGHT(HEX2BIN(BB40,8)&amp;LEFT(HEX2BIN($A$1,8),1),8))),HEX2DEC(BB40)),2),IF(AND(BH42=2,BB33=0),BIN2HEX(RIGHT(HEX2BIN(BB40,8)&amp;LEFT(HEX2BIN($A$1,8),1),8)),IF(AND(BH42=2,BB33=1),DEC2HEX(_xlfn.BITXOR(BIN2DEC(RIGHT(HEX2BIN(BB40,8)&amp;LEFT(HEX2BIN($A$1,8),1),8)),HEX2DEC($B$1))),IF(AND(BH42=3,BB33=1),DEC2HEX(_xlfn.BITXOR(_xlfn.BITXOR(BIN2DEC(RIGHT(HEX2BIN(BB40,8)&amp;LEFT(HEX2BIN($A$1,8),1),8)),HEX2DEC($B$1)),HEX2DEC(BB40))),BB40)))))),HEX2DEC(IF(AND(BI42=3,BB34=0),DEC2HEX(_xlfn.BITXOR(BIN2DEC((RIGHT(HEX2BIN(BB41,8)&amp;LEFT(HEX2BIN($A$1,8),1),8))),HEX2DEC(BB41)),2),IF(AND(BI42=2,BB34=0),BIN2HEX(RIGHT(HEX2BIN(BB41,8)&amp;LEFT(HEX2BIN($A$1,8),1),8)),IF(AND(BI42=2,BB34=1),DEC2HEX(_xlfn.BITXOR(BIN2DEC(RIGHT(HEX2BIN(BB41,8)&amp;LEFT(HEX2BIN($A$1,8),1),8)),HEX2DEC($B$1))),IF(AND(BI42=3,BB34=1),DEC2HEX(_xlfn.BITXOR(_xlfn.BITXOR(BIN2DEC(RIGHT(HEX2BIN(BB41,8)&amp;LEFT(HEX2BIN($A$1,8),1),8)),HEX2DEC($B$1)),HEX2DEC(BB41))),BB41)))))),HEX2DEC(IF(AND(BJ42=3,BB35=0),DEC2HEX(_xlfn.BITXOR(BIN2DEC((RIGHT(HEX2BIN(BB42,8)&amp;LEFT(HEX2BIN($A$1,8),1),8))),HEX2DEC(BB42)),2),IF(AND(BJ42=2,BB35=0),BIN2HEX(RIGHT(HEX2BIN(BB42,8)&amp;LEFT(HEX2BIN($A$1,8),1),8)),IF(AND(BJ42=2,BB35=1),DEC2HEX(_xlfn.BITXOR(BIN2DEC(RIGHT(HEX2BIN(BB42,8)&amp;LEFT(HEX2BIN($A$1,8),1),8)),HEX2DEC($B$1))),IF(AND(BJ42=3,BB35=1),DEC2HEX(_xlfn.BITXOR(_xlfn.BITXOR(BIN2DEC(RIGHT(HEX2BIN(BB42,8)&amp;LEFT(HEX2BIN($A$1,8),1),8)),HEX2DEC($B$1)),HEX2DEC(BB42))),BB42)))))))</f>
        <v>C1</v>
      </c>
      <c r="BM42" s="44" t="str">
        <f>DEC2HEX(_xlfn.BITXOR(_xlfn.BITXOR(_xlfn.BITXOR(HEX2DEC(IF(AND(BG42=3,BC32=0),DEC2HEX(_xlfn.BITXOR(BIN2DEC((RIGHT(HEX2BIN(BC39,8)&amp;LEFT(HEX2BIN($A$1,8),1),8))),HEX2DEC(BC39)),2),IF(AND(BG42=2,BC32=0),BIN2HEX(RIGHT(HEX2BIN(BC39,8)&amp;LEFT(HEX2BIN($A$1,8),1),8)),IF(AND(BG42=2,BC32=1),DEC2HEX(_xlfn.BITXOR(BIN2DEC(RIGHT(HEX2BIN(BC39,8)&amp;LEFT(HEX2BIN($A$1,8),1),8)),HEX2DEC($B$1))),IF(AND(BG42=3,BC32=1),DEC2HEX(_xlfn.BITXOR(_xlfn.BITXOR(BIN2DEC(RIGHT(HEX2BIN(BC39,8)&amp;LEFT(HEX2BIN($A$1,8),1),8)),HEX2DEC($B$1)),HEX2DEC(BC39))),BC39))))),HEX2DEC(IF(AND(BH42=3,BC33=0),DEC2HEX(_xlfn.BITXOR(BIN2DEC((RIGHT(HEX2BIN(BC40,8)&amp;LEFT(HEX2BIN($A$1,8),1),8))),HEX2DEC(BC40)),2),IF(AND(BH42=2,BC33=0),BIN2HEX(RIGHT(HEX2BIN(BC40,8)&amp;LEFT(HEX2BIN($A$1,8),1),8)),IF(AND(BH42=2,BC33=1),DEC2HEX(_xlfn.BITXOR(BIN2DEC(RIGHT(HEX2BIN(BC40,8)&amp;LEFT(HEX2BIN($A$1,8),1),8)),HEX2DEC($B$1))),IF(AND(BH42=3,BC33=1),DEC2HEX(_xlfn.BITXOR(_xlfn.BITXOR(BIN2DEC(RIGHT(HEX2BIN(BC40,8)&amp;LEFT(HEX2BIN($A$1,8),1),8)),HEX2DEC($B$1)),HEX2DEC(BC40))),BC40)))))),HEX2DEC(IF(AND(BI42=3,BC34=0),DEC2HEX(_xlfn.BITXOR(BIN2DEC((RIGHT(HEX2BIN(BC41,8)&amp;LEFT(HEX2BIN($A$1,8),1),8))),HEX2DEC(BC41)),2),IF(AND(BI42=2,BC34=0),BIN2HEX(RIGHT(HEX2BIN(BC41,8)&amp;LEFT(HEX2BIN($A$1,8),1),8)),IF(AND(BI42=2,BC34=1),DEC2HEX(_xlfn.BITXOR(BIN2DEC(RIGHT(HEX2BIN(BC41,8)&amp;LEFT(HEX2BIN($A$1,8),1),8)),HEX2DEC($B$1))),IF(AND(BI42=3,BC34=1),DEC2HEX(_xlfn.BITXOR(_xlfn.BITXOR(BIN2DEC(RIGHT(HEX2BIN(BC41,8)&amp;LEFT(HEX2BIN($A$1,8),1),8)),HEX2DEC($B$1)),HEX2DEC(BC41))),BC41)))))),HEX2DEC(IF(AND(BJ42=3,BC35=0),DEC2HEX(_xlfn.BITXOR(BIN2DEC((RIGHT(HEX2BIN(BC42,8)&amp;LEFT(HEX2BIN($A$1,8),1),8))),HEX2DEC(BC42)),2),IF(AND(BJ42=2,BC35=0),BIN2HEX(RIGHT(HEX2BIN(BC42,8)&amp;LEFT(HEX2BIN($A$1,8),1),8)),IF(AND(BJ42=2,BC35=1),DEC2HEX(_xlfn.BITXOR(BIN2DEC(RIGHT(HEX2BIN(BC42,8)&amp;LEFT(HEX2BIN($A$1,8),1),8)),HEX2DEC($B$1))),IF(AND(BJ42=3,BC35=1),DEC2HEX(_xlfn.BITXOR(_xlfn.BITXOR(BIN2DEC(RIGHT(HEX2BIN(BC42,8)&amp;LEFT(HEX2BIN($A$1,8),1),8)),HEX2DEC($B$1)),HEX2DEC(BC42))),BC42)))))))</f>
        <v>C0</v>
      </c>
      <c r="BN42" s="44" t="str">
        <f>DEC2HEX(_xlfn.BITXOR(_xlfn.BITXOR(_xlfn.BITXOR(HEX2DEC(IF(AND(BG42=3,BD32=0),DEC2HEX(_xlfn.BITXOR(BIN2DEC((RIGHT(HEX2BIN(BD39,8)&amp;LEFT(HEX2BIN($A$1,8),1),8))),HEX2DEC(BD39)),2),IF(AND(BG42=2,BD32=0),BIN2HEX(RIGHT(HEX2BIN(BD39,8)&amp;LEFT(HEX2BIN($A$1,8),1),8)),IF(AND(BG42=2,BD32=1),DEC2HEX(_xlfn.BITXOR(BIN2DEC(RIGHT(HEX2BIN(BD39,8)&amp;LEFT(HEX2BIN($A$1,8),1),8)),HEX2DEC($B$1))),IF(AND(BG42=3,BD32=1),DEC2HEX(_xlfn.BITXOR(_xlfn.BITXOR(BIN2DEC(RIGHT(HEX2BIN(BD39,8)&amp;LEFT(HEX2BIN($A$1,8),1),8)),HEX2DEC($B$1)),HEX2DEC(BD39))),BD39))))),HEX2DEC(IF(AND(BH42=3,BD33=0),DEC2HEX(_xlfn.BITXOR(BIN2DEC((RIGHT(HEX2BIN(BD40,8)&amp;LEFT(HEX2BIN($A$1,8),1),8))),HEX2DEC(BD40)),2),IF(AND(BH42=2,BD33=0),BIN2HEX(RIGHT(HEX2BIN(BD40,8)&amp;LEFT(HEX2BIN($A$1,8),1),8)),IF(AND(BH42=2,BD33=1),DEC2HEX(_xlfn.BITXOR(BIN2DEC(RIGHT(HEX2BIN(BD40,8)&amp;LEFT(HEX2BIN($A$1,8),1),8)),HEX2DEC($B$1))),IF(AND(BH42=3,BD33=1),DEC2HEX(_xlfn.BITXOR(_xlfn.BITXOR(BIN2DEC(RIGHT(HEX2BIN(BD40,8)&amp;LEFT(HEX2BIN($A$1,8),1),8)),HEX2DEC($B$1)),HEX2DEC(BD40))),BD40)))))),HEX2DEC(IF(AND(BI42=3,BD34=0),DEC2HEX(_xlfn.BITXOR(BIN2DEC((RIGHT(HEX2BIN(BD41,8)&amp;LEFT(HEX2BIN($A$1,8),1),8))),HEX2DEC(BD41)),2),IF(AND(BI42=2,BD34=0),BIN2HEX(RIGHT(HEX2BIN(BD41,8)&amp;LEFT(HEX2BIN($A$1,8),1),8)),IF(AND(BI42=2,BD34=1),DEC2HEX(_xlfn.BITXOR(BIN2DEC(RIGHT(HEX2BIN(BD41,8)&amp;LEFT(HEX2BIN($A$1,8),1),8)),HEX2DEC($B$1))),IF(AND(BI42=3,BD34=1),DEC2HEX(_xlfn.BITXOR(_xlfn.BITXOR(BIN2DEC(RIGHT(HEX2BIN(BD41,8)&amp;LEFT(HEX2BIN($A$1,8),1),8)),HEX2DEC($B$1)),HEX2DEC(BD41))),BD41)))))),HEX2DEC(IF(AND(BJ42=3,BD35=0),DEC2HEX(_xlfn.BITXOR(BIN2DEC((RIGHT(HEX2BIN(BD42,8)&amp;LEFT(HEX2BIN($A$1,8),1),8))),HEX2DEC(BD42)),2),IF(AND(BJ42=2,BD35=0),BIN2HEX(RIGHT(HEX2BIN(BD42,8)&amp;LEFT(HEX2BIN($A$1,8),1),8)),IF(AND(BJ42=2,BD35=1),DEC2HEX(_xlfn.BITXOR(BIN2DEC(RIGHT(HEX2BIN(BD42,8)&amp;LEFT(HEX2BIN($A$1,8),1),8)),HEX2DEC($B$1))),IF(AND(BJ42=3,BD35=1),DEC2HEX(_xlfn.BITXOR(_xlfn.BITXOR(BIN2DEC(RIGHT(HEX2BIN(BD42,8)&amp;LEFT(HEX2BIN($A$1,8),1),8)),HEX2DEC($B$1)),HEX2DEC(BD42))),BD42)))))))</f>
        <v>5B</v>
      </c>
      <c r="BO42" s="44" t="str">
        <f>DEC2HEX(_xlfn.BITXOR(_xlfn.BITXOR(_xlfn.BITXOR(HEX2DEC(IF(AND(BG42=3,BE32=0),DEC2HEX(_xlfn.BITXOR(BIN2DEC((RIGHT(HEX2BIN(BE39,8)&amp;LEFT(HEX2BIN($A$1,8),1),8))),HEX2DEC(BE39)),2),IF(AND(BG42=2,BE32=0),BIN2HEX(RIGHT(HEX2BIN(BE39,8)&amp;LEFT(HEX2BIN($A$1,8),1),8)),IF(AND(BG42=2,BE32=1),DEC2HEX(_xlfn.BITXOR(BIN2DEC(RIGHT(HEX2BIN(BE39,8)&amp;LEFT(HEX2BIN($A$1,8),1),8)),HEX2DEC($B$1))),IF(AND(BG42=3,BE32=1),DEC2HEX(_xlfn.BITXOR(_xlfn.BITXOR(BIN2DEC(RIGHT(HEX2BIN(BE39,8)&amp;LEFT(HEX2BIN($A$1,8),1),8)),HEX2DEC($B$1)),HEX2DEC(BE39))),BE39))))),HEX2DEC(IF(AND(BH42=3,BE33=0),DEC2HEX(_xlfn.BITXOR(BIN2DEC((RIGHT(HEX2BIN(BE40,8)&amp;LEFT(HEX2BIN($A$1,8),1),8))),HEX2DEC(BE40)),2),IF(AND(BH42=2,BE33=0),BIN2HEX(RIGHT(HEX2BIN(BE40,8)&amp;LEFT(HEX2BIN($A$1,8),1),8)),IF(AND(BH42=2,BE33=1),DEC2HEX(_xlfn.BITXOR(BIN2DEC(RIGHT(HEX2BIN(BE40,8)&amp;LEFT(HEX2BIN($A$1,8),1),8)),HEX2DEC($B$1))),IF(AND(BH42=3,BE33=1),DEC2HEX(_xlfn.BITXOR(_xlfn.BITXOR(BIN2DEC(RIGHT(HEX2BIN(BE40,8)&amp;LEFT(HEX2BIN($A$1,8),1),8)),HEX2DEC($B$1)),HEX2DEC(BE40))),BE40)))))),HEX2DEC(IF(AND(BI42=3,BE34=0),DEC2HEX(_xlfn.BITXOR(BIN2DEC((RIGHT(HEX2BIN(BE41,8)&amp;LEFT(HEX2BIN($A$1,8),1),8))),HEX2DEC(BE41)),2),IF(AND(BI42=2,BE34=0),BIN2HEX(RIGHT(HEX2BIN(BE41,8)&amp;LEFT(HEX2BIN($A$1,8),1),8)),IF(AND(BI42=2,BE34=1),DEC2HEX(_xlfn.BITXOR(BIN2DEC(RIGHT(HEX2BIN(BE41,8)&amp;LEFT(HEX2BIN($A$1,8),1),8)),HEX2DEC($B$1))),IF(AND(BI42=3,BE34=1),DEC2HEX(_xlfn.BITXOR(_xlfn.BITXOR(BIN2DEC(RIGHT(HEX2BIN(BE41,8)&amp;LEFT(HEX2BIN($A$1,8),1),8)),HEX2DEC($B$1)),HEX2DEC(BE41))),BE41)))))),HEX2DEC(IF(AND(BJ42=3,BE35=0),DEC2HEX(_xlfn.BITXOR(BIN2DEC((RIGHT(HEX2BIN(BE42,8)&amp;LEFT(HEX2BIN($A$1,8),1),8))),HEX2DEC(BE42)),2),IF(AND(BJ42=2,BE35=0),BIN2HEX(RIGHT(HEX2BIN(BE42,8)&amp;LEFT(HEX2BIN($A$1,8),1),8)),IF(AND(BJ42=2,BE35=1),DEC2HEX(_xlfn.BITXOR(BIN2DEC(RIGHT(HEX2BIN(BE42,8)&amp;LEFT(HEX2BIN($A$1,8),1),8)),HEX2DEC($B$1))),IF(AND(BJ42=3,BE35=1),DEC2HEX(_xlfn.BITXOR(_xlfn.BITXOR(BIN2DEC(RIGHT(HEX2BIN(BE42,8)&amp;LEFT(HEX2BIN($A$1,8),1),8)),HEX2DEC($B$1)),HEX2DEC(BE42))),BE42)))))))</f>
        <v>9D</v>
      </c>
    </row>
    <row r="43" spans="1:82" x14ac:dyDescent="0.25">
      <c r="A43" s="13"/>
      <c r="B43" s="13"/>
      <c r="D43" s="13"/>
      <c r="E43" s="8"/>
      <c r="F43" s="13"/>
      <c r="G43" s="13"/>
      <c r="H43" s="8"/>
      <c r="I43" s="11"/>
      <c r="J43" s="8"/>
      <c r="K43" s="8"/>
      <c r="L43" s="11"/>
      <c r="M43" s="8"/>
      <c r="N43" s="8"/>
      <c r="O43" s="11"/>
      <c r="P43" s="8"/>
      <c r="Q43" s="8"/>
      <c r="R43" s="11"/>
      <c r="T43" s="11"/>
      <c r="U43" s="8"/>
      <c r="V43" s="8"/>
      <c r="W43" s="11"/>
      <c r="X43" s="8"/>
      <c r="Y43" s="8"/>
      <c r="Z43" s="11"/>
      <c r="AA43" s="8"/>
      <c r="AB43" s="8"/>
      <c r="AC43" s="11"/>
      <c r="AD43" s="8"/>
      <c r="AE43" s="8"/>
      <c r="BB43" s="10"/>
      <c r="BC43" s="10"/>
      <c r="BD43" s="10"/>
      <c r="BE43" s="10"/>
      <c r="BF43" s="10"/>
      <c r="BG43" s="10"/>
      <c r="BH43" s="10"/>
      <c r="BI43" s="10"/>
      <c r="BJ43" s="10"/>
      <c r="BK43" s="10"/>
    </row>
    <row r="44" spans="1:82" x14ac:dyDescent="0.25">
      <c r="A44" s="11"/>
      <c r="B44" s="11"/>
      <c r="D44" s="11"/>
      <c r="E44" s="8"/>
      <c r="F44" s="11"/>
      <c r="G44" s="11"/>
      <c r="H44" s="8"/>
      <c r="I44" s="11"/>
      <c r="J44" s="8"/>
      <c r="K44" s="8"/>
      <c r="L44" s="11"/>
      <c r="M44" s="8"/>
      <c r="N44" s="8"/>
      <c r="O44" s="11"/>
      <c r="P44" s="8"/>
      <c r="Q44" s="8"/>
      <c r="R44" s="11"/>
      <c r="T44" s="11"/>
      <c r="U44" s="8"/>
      <c r="V44" s="8"/>
      <c r="W44" s="11"/>
      <c r="X44" s="8"/>
      <c r="Y44" s="8"/>
      <c r="Z44" s="11"/>
      <c r="AA44" s="8"/>
      <c r="AB44" s="8"/>
      <c r="AC44" s="11"/>
      <c r="AD44" s="8"/>
      <c r="AE44" s="8"/>
      <c r="BB44" s="10"/>
      <c r="BC44" s="10"/>
      <c r="BD44" s="10"/>
      <c r="BE44" s="10"/>
      <c r="BF44" s="10"/>
      <c r="BG44" s="10"/>
      <c r="BH44" s="10"/>
      <c r="BI44" s="10"/>
      <c r="BJ44" s="10"/>
      <c r="BK44" s="10"/>
    </row>
    <row r="45" spans="1:82" x14ac:dyDescent="0.25">
      <c r="B45" s="11"/>
      <c r="D45" s="8"/>
      <c r="E45" s="8"/>
      <c r="F45" s="8"/>
      <c r="G45" s="11"/>
      <c r="H45" s="8"/>
      <c r="I45" s="11"/>
      <c r="J45" s="8"/>
      <c r="K45" s="8"/>
      <c r="L45" s="11"/>
      <c r="M45" s="8"/>
      <c r="N45" s="8"/>
      <c r="O45" s="11"/>
      <c r="P45" s="8"/>
      <c r="Q45" s="8"/>
      <c r="R45" s="11"/>
      <c r="T45" s="11"/>
      <c r="U45" s="8"/>
      <c r="V45" s="8"/>
      <c r="W45" s="11"/>
      <c r="X45" s="8"/>
      <c r="Y45" s="8"/>
      <c r="Z45" s="11"/>
      <c r="AA45" s="8"/>
      <c r="AB45" s="8"/>
      <c r="AC45" s="11"/>
      <c r="AD45" s="8"/>
      <c r="AE45" s="8"/>
      <c r="BB45" s="10"/>
      <c r="BC45" s="10"/>
      <c r="BD45" s="10"/>
      <c r="BE45" s="10"/>
      <c r="BF45" s="10"/>
      <c r="BG45" s="10"/>
      <c r="BH45" s="10"/>
      <c r="BI45" s="10"/>
      <c r="BJ45" s="10"/>
      <c r="BK45" s="10"/>
    </row>
    <row r="46" spans="1:82" x14ac:dyDescent="0.25">
      <c r="B46" s="11"/>
      <c r="D46" s="8"/>
      <c r="E46" s="8"/>
      <c r="F46" s="8"/>
      <c r="G46" s="11"/>
      <c r="H46" s="8"/>
      <c r="I46" s="11"/>
      <c r="J46" s="8"/>
      <c r="K46" s="8"/>
      <c r="L46" s="11"/>
      <c r="M46" s="8"/>
      <c r="N46" s="8"/>
      <c r="O46" s="11"/>
      <c r="P46" s="8"/>
      <c r="Q46" s="8"/>
      <c r="R46" s="11"/>
      <c r="T46" s="11"/>
      <c r="U46" s="8"/>
      <c r="V46" s="8"/>
      <c r="W46" s="11"/>
      <c r="X46" s="8"/>
      <c r="Y46" s="8"/>
      <c r="Z46" s="11"/>
      <c r="AA46" s="8"/>
      <c r="AB46" s="8"/>
      <c r="AC46" s="11"/>
      <c r="AD46" s="8"/>
      <c r="AE46" s="8"/>
    </row>
    <row r="47" spans="1:82" x14ac:dyDescent="0.25">
      <c r="B47" s="11"/>
      <c r="D47" s="8"/>
      <c r="E47" s="8"/>
      <c r="F47" s="8"/>
      <c r="G47" s="11"/>
      <c r="H47" s="8"/>
      <c r="I47" s="11"/>
      <c r="J47" s="8"/>
      <c r="K47" s="8"/>
      <c r="L47" s="11"/>
      <c r="M47" s="8"/>
      <c r="N47" s="8"/>
      <c r="O47" s="11"/>
      <c r="P47" s="8"/>
      <c r="Q47" s="8"/>
      <c r="R47" s="11"/>
      <c r="T47" s="11"/>
      <c r="U47" s="8"/>
      <c r="V47" s="8"/>
      <c r="W47" s="11"/>
      <c r="X47" s="8"/>
      <c r="Y47" s="8"/>
      <c r="Z47" s="11"/>
      <c r="AA47" s="8"/>
      <c r="AB47" s="8"/>
      <c r="AC47" s="11"/>
      <c r="AD47" s="8"/>
      <c r="AE47" s="8"/>
      <c r="BQ47" s="66">
        <v>0</v>
      </c>
      <c r="BR47" s="66">
        <v>1</v>
      </c>
      <c r="BS47" s="66">
        <v>1</v>
      </c>
      <c r="BT47" s="66">
        <v>1</v>
      </c>
      <c r="BU47" s="66"/>
      <c r="BV47" s="66"/>
      <c r="BW47" s="66"/>
      <c r="BX47" s="67"/>
      <c r="BY47" s="66"/>
      <c r="BZ47" s="67"/>
      <c r="CA47" s="66"/>
      <c r="CB47" s="66"/>
      <c r="CC47" s="66"/>
      <c r="CD47" s="66"/>
    </row>
    <row r="48" spans="1:82" x14ac:dyDescent="0.25">
      <c r="B48" s="11"/>
      <c r="D48" s="8"/>
      <c r="E48" s="8"/>
      <c r="F48" s="8"/>
      <c r="G48" s="11"/>
      <c r="H48" s="8"/>
      <c r="I48" s="11"/>
      <c r="J48" s="8"/>
      <c r="K48" s="8"/>
      <c r="L48" s="11"/>
      <c r="M48" s="8"/>
      <c r="N48" s="8"/>
      <c r="O48" s="11"/>
      <c r="P48" s="8"/>
      <c r="Q48" s="8"/>
      <c r="R48" s="11"/>
      <c r="T48" s="11"/>
      <c r="U48" s="8"/>
      <c r="V48" s="8"/>
      <c r="W48" s="11"/>
      <c r="X48" s="8"/>
      <c r="Y48" s="8"/>
      <c r="Z48" s="11"/>
      <c r="AA48" s="8"/>
      <c r="AB48" s="8"/>
      <c r="AC48" s="11"/>
      <c r="AD48" s="8"/>
      <c r="AE48" s="8"/>
      <c r="BQ48" s="66">
        <v>0</v>
      </c>
      <c r="BR48" s="66">
        <v>1</v>
      </c>
      <c r="BS48" s="66">
        <v>1</v>
      </c>
      <c r="BT48" s="66">
        <v>1</v>
      </c>
      <c r="BU48" s="66"/>
      <c r="BV48" s="66"/>
      <c r="BW48" s="66"/>
      <c r="BX48" s="67"/>
      <c r="BY48" s="66"/>
      <c r="BZ48" s="67"/>
      <c r="CA48" s="66"/>
      <c r="CB48" s="66"/>
      <c r="CC48" s="66"/>
      <c r="CD48" s="66"/>
    </row>
    <row r="49" spans="1:82" x14ac:dyDescent="0.25">
      <c r="A49" s="11"/>
      <c r="B49" s="11"/>
      <c r="D49" s="11"/>
      <c r="E49" s="8"/>
      <c r="F49" s="11"/>
      <c r="G49" s="11"/>
      <c r="H49" s="8"/>
      <c r="I49" s="11"/>
      <c r="J49" s="8"/>
      <c r="K49" s="8"/>
      <c r="L49" s="11"/>
      <c r="M49" s="8"/>
      <c r="N49" s="8"/>
      <c r="O49" s="11"/>
      <c r="P49" s="8"/>
      <c r="Q49" s="8"/>
      <c r="R49" s="11"/>
      <c r="T49" s="11"/>
      <c r="U49" s="8"/>
      <c r="V49" s="8"/>
      <c r="W49" s="11"/>
      <c r="X49" s="8"/>
      <c r="Y49" s="8"/>
      <c r="Z49" s="11"/>
      <c r="AA49" s="8"/>
      <c r="AB49" s="8"/>
      <c r="AC49" s="11"/>
      <c r="AD49" s="8"/>
      <c r="AE49" s="8"/>
      <c r="AW49" s="38"/>
      <c r="AX49" s="38"/>
      <c r="AY49" s="38"/>
      <c r="AZ49" s="38"/>
      <c r="BQ49" s="66">
        <v>1</v>
      </c>
      <c r="BR49" s="66">
        <v>1</v>
      </c>
      <c r="BS49" s="66">
        <v>1</v>
      </c>
      <c r="BT49" s="66">
        <v>0</v>
      </c>
      <c r="BU49" s="66"/>
      <c r="BV49" s="66"/>
      <c r="BW49" s="66"/>
      <c r="BX49" s="67"/>
      <c r="BY49" s="66"/>
      <c r="BZ49" s="67"/>
      <c r="CA49" s="66"/>
      <c r="CB49" s="66"/>
      <c r="CC49" s="66"/>
      <c r="CD49" s="66"/>
    </row>
    <row r="50" spans="1:82" x14ac:dyDescent="0.25">
      <c r="B50" s="11"/>
      <c r="D50" s="11"/>
      <c r="E50" s="8"/>
      <c r="F50" s="11"/>
      <c r="G50" s="11"/>
      <c r="H50" s="8"/>
      <c r="I50" s="11"/>
      <c r="J50" s="8"/>
      <c r="K50" s="8"/>
      <c r="L50" s="11"/>
      <c r="M50" s="8"/>
      <c r="N50" s="8"/>
      <c r="O50" s="11"/>
      <c r="P50" s="8"/>
      <c r="Q50" s="8"/>
      <c r="R50" s="11"/>
      <c r="T50" s="11"/>
      <c r="U50" s="8"/>
      <c r="V50" s="8"/>
      <c r="W50" s="11"/>
      <c r="X50" s="8"/>
      <c r="Y50" s="8"/>
      <c r="Z50" s="11"/>
      <c r="AA50" s="8"/>
      <c r="AB50" s="8"/>
      <c r="AC50" s="11"/>
      <c r="AD50" s="8"/>
      <c r="AE50" s="8"/>
      <c r="AF50" s="8"/>
      <c r="AG50" s="8"/>
      <c r="AW50" s="38"/>
      <c r="AX50" s="38"/>
      <c r="AY50" s="38"/>
      <c r="AZ50" s="38"/>
      <c r="BQ50" s="66">
        <v>1</v>
      </c>
      <c r="BR50" s="66">
        <v>0</v>
      </c>
      <c r="BS50" s="66">
        <v>1</v>
      </c>
      <c r="BT50" s="66">
        <v>0</v>
      </c>
      <c r="BU50" s="66"/>
      <c r="BV50" s="66"/>
      <c r="BW50" s="66"/>
      <c r="BX50" s="67"/>
      <c r="BY50" s="66"/>
      <c r="BZ50" s="67"/>
      <c r="CA50" s="66"/>
      <c r="CB50" s="66"/>
      <c r="CC50" s="66"/>
      <c r="CD50" s="66"/>
    </row>
    <row r="51" spans="1:82" x14ac:dyDescent="0.25">
      <c r="B51" s="11"/>
      <c r="D51" s="11"/>
      <c r="E51" s="8"/>
      <c r="F51" s="11"/>
      <c r="G51" s="11"/>
      <c r="H51" s="8"/>
      <c r="I51" s="11"/>
      <c r="J51" s="8"/>
      <c r="K51" s="8"/>
      <c r="L51" s="11"/>
      <c r="M51" s="8"/>
      <c r="N51" s="8"/>
      <c r="O51" s="11"/>
      <c r="P51" s="8"/>
      <c r="Q51" s="8"/>
      <c r="R51" s="11"/>
      <c r="T51" s="11"/>
      <c r="U51" s="8"/>
      <c r="V51" s="8"/>
      <c r="W51" s="11"/>
      <c r="X51" s="8"/>
      <c r="Y51" s="8"/>
      <c r="Z51" s="11"/>
      <c r="AA51" s="8"/>
      <c r="AB51" s="8"/>
      <c r="AC51" s="11"/>
      <c r="AD51" s="8"/>
      <c r="AE51" s="8"/>
      <c r="AF51" s="8"/>
      <c r="AG51" s="8"/>
      <c r="BQ51" s="66"/>
      <c r="BR51" s="66"/>
      <c r="BS51" s="66"/>
      <c r="BT51" s="66"/>
      <c r="BU51" s="66"/>
      <c r="BV51" s="66"/>
      <c r="BW51" s="66"/>
      <c r="BX51" s="67"/>
      <c r="BY51" s="66"/>
      <c r="BZ51" s="67"/>
      <c r="CA51" s="66"/>
      <c r="CB51" s="66"/>
      <c r="CC51" s="66"/>
      <c r="CD51" s="66"/>
    </row>
    <row r="52" spans="1:82" x14ac:dyDescent="0.25">
      <c r="B52" s="11"/>
      <c r="D52" s="11"/>
      <c r="E52" s="8"/>
      <c r="F52" s="11"/>
      <c r="G52" s="11"/>
      <c r="H52" s="8"/>
      <c r="I52" s="11"/>
      <c r="J52" s="8"/>
      <c r="K52" s="8"/>
      <c r="L52" s="11"/>
      <c r="M52" s="8"/>
      <c r="N52" s="8"/>
      <c r="O52" s="11"/>
      <c r="P52" s="8"/>
      <c r="Q52" s="8"/>
      <c r="R52" s="11"/>
      <c r="T52" s="11"/>
      <c r="U52" s="8"/>
      <c r="V52" s="8"/>
      <c r="W52" s="11"/>
      <c r="X52" s="8"/>
      <c r="Y52" s="8"/>
      <c r="Z52" s="11"/>
      <c r="AA52" s="8"/>
      <c r="AB52" s="8"/>
      <c r="AC52" s="11"/>
      <c r="AD52" s="8"/>
      <c r="AE52" s="8"/>
      <c r="AF52" s="8"/>
      <c r="AG52" s="8"/>
      <c r="BQ52" s="66"/>
      <c r="BR52" s="66"/>
      <c r="BS52" s="66"/>
      <c r="BT52" s="66"/>
      <c r="BU52" s="66"/>
      <c r="BV52" s="66"/>
      <c r="BW52" s="66"/>
      <c r="BX52" s="67"/>
      <c r="BY52" s="66"/>
      <c r="BZ52" s="67"/>
      <c r="CA52" s="66"/>
      <c r="CB52" s="66"/>
      <c r="CC52" s="66"/>
      <c r="CD52" s="66"/>
    </row>
    <row r="53" spans="1:82" x14ac:dyDescent="0.25">
      <c r="B53" s="11"/>
      <c r="D53" s="11"/>
      <c r="E53" s="8"/>
      <c r="F53" s="11"/>
      <c r="G53" s="11"/>
      <c r="H53" s="8"/>
      <c r="I53" s="11"/>
      <c r="J53" s="8"/>
      <c r="K53" s="8"/>
      <c r="L53" s="11"/>
      <c r="M53" s="8"/>
      <c r="N53" s="8"/>
      <c r="O53" s="11"/>
      <c r="P53" s="8"/>
      <c r="Q53" s="8"/>
      <c r="R53" s="11"/>
      <c r="T53" s="11"/>
      <c r="U53" s="8"/>
      <c r="V53" s="8"/>
      <c r="W53" s="11"/>
      <c r="X53" s="8"/>
      <c r="Y53" s="8"/>
      <c r="Z53" s="11"/>
      <c r="AA53" s="8"/>
      <c r="AB53" s="8"/>
      <c r="AC53" s="11"/>
      <c r="AD53" s="8"/>
      <c r="AE53" s="8"/>
      <c r="AF53" s="8"/>
      <c r="AG53" s="8"/>
      <c r="BQ53" s="66"/>
      <c r="BR53" s="66"/>
      <c r="BS53" s="66"/>
      <c r="BT53" s="66"/>
      <c r="BU53" s="66"/>
      <c r="BV53" s="66"/>
      <c r="BW53" s="66"/>
      <c r="BX53" s="67"/>
      <c r="BY53" s="66"/>
      <c r="BZ53" s="67"/>
      <c r="CA53" s="66"/>
      <c r="CB53" s="66"/>
      <c r="CC53" s="66"/>
      <c r="CD53" s="66"/>
    </row>
    <row r="54" spans="1:82" x14ac:dyDescent="0.25">
      <c r="B54" s="11"/>
      <c r="D54" s="11"/>
      <c r="E54" s="8"/>
      <c r="F54" s="11"/>
      <c r="G54" s="11"/>
      <c r="H54" s="8"/>
      <c r="I54" s="11"/>
      <c r="J54" s="8"/>
      <c r="K54" s="8"/>
      <c r="L54" s="11"/>
      <c r="M54" s="8"/>
      <c r="N54" s="8"/>
      <c r="O54" s="11"/>
      <c r="P54" s="8"/>
      <c r="Q54" s="8"/>
      <c r="R54" s="11"/>
      <c r="T54" s="11"/>
      <c r="U54" s="8"/>
      <c r="V54" s="8"/>
      <c r="W54" s="11"/>
      <c r="X54" s="8"/>
      <c r="Y54" s="8"/>
      <c r="Z54" s="11"/>
      <c r="AA54" s="8"/>
      <c r="AB54" s="8"/>
      <c r="AC54" s="11"/>
      <c r="AD54" s="8"/>
      <c r="AE54" s="8"/>
      <c r="AF54" s="8"/>
      <c r="AG54" s="8"/>
      <c r="BQ54" s="66">
        <v>63</v>
      </c>
      <c r="BR54" s="66" t="s">
        <v>90</v>
      </c>
      <c r="BS54" s="66" t="s">
        <v>110</v>
      </c>
      <c r="BT54" s="66" t="s">
        <v>178</v>
      </c>
      <c r="BU54" s="66"/>
      <c r="BV54" s="68">
        <v>2</v>
      </c>
      <c r="BW54" s="68">
        <v>3</v>
      </c>
      <c r="BX54" s="68">
        <v>1</v>
      </c>
      <c r="BY54" s="68">
        <v>1</v>
      </c>
      <c r="BZ54" s="67"/>
      <c r="CA54" s="66" t="str">
        <f>DEC2HEX(_xlfn.BITXOR(_xlfn.BITXOR(_xlfn.BITXOR(HEX2DEC(IF(AND(BV54=3,BQ47=0),DEC2HEX(_xlfn.BITXOR(BIN2DEC((RIGHT(HEX2BIN(BQ54,8)&amp;LEFT(HEX2BIN($A$1,8),1),8))),HEX2DEC(BQ54)),2),IF(AND(BV54=2,BQ47=0),BIN2HEX(RIGHT(HEX2BIN(BQ54,8)&amp;LEFT(HEX2BIN($A$1,8),1),8)),IF(AND(BV54=2,BQ47=1),DEC2HEX(_xlfn.BITXOR(BIN2DEC(RIGHT(HEX2BIN(BQ54,8)&amp;LEFT(HEX2BIN($A$1,8),1),8)),HEX2DEC($B$1))),IF(AND(BV54=3,BQ47=1),DEC2HEX(_xlfn.BITXOR(_xlfn.BITXOR(BIN2DEC(RIGHT(HEX2BIN(BQ54,8)&amp;LEFT(HEX2BIN($A$1,8),1),8)),HEX2DEC($B$1)),HEX2DEC(BQ54))),BQ54))))),HEX2DEC(IF(AND(BW54=3,BQ48=0),DEC2HEX(_xlfn.BITXOR(BIN2DEC((RIGHT(HEX2BIN(BQ55,8)&amp;LEFT(HEX2BIN($A$1,8),1),8))),HEX2DEC(BQ55)),2),IF(AND(BW54=2,BQ48=0),BIN2HEX(RIGHT(HEX2BIN(BQ55,8)&amp;LEFT(HEX2BIN($A$1,8),1),8)),IF(AND(BW54=2,BQ48=1),DEC2HEX(_xlfn.BITXOR(BIN2DEC(RIGHT(HEX2BIN(BQ55,8)&amp;LEFT(HEX2BIN($A$1,8),1),8)),HEX2DEC($B$1))),IF(AND(BW54=3,BQ48=1),DEC2HEX(_xlfn.BITXOR(_xlfn.BITXOR(BIN2DEC(RIGHT(HEX2BIN(BQ55,8)&amp;LEFT(HEX2BIN($A$1,8),1),8)),HEX2DEC($B$1)),HEX2DEC(BQ55))),BQ55)))))),HEX2DEC(IF(AND(BX54=3,BQ49=0),DEC2HEX(_xlfn.BITXOR(BIN2DEC((RIGHT(HEX2BIN(BQ56,8)&amp;LEFT(HEX2BIN($A$1,8),1),8))),HEX2DEC(BQ56)),2),IF(AND(BX54=2,BQ49=0),BIN2HEX(RIGHT(HEX2BIN(BQ56,8)&amp;LEFT(HEX2BIN($A$1,8),1),8)),IF(AND(BX54=2,BQ49=1),DEC2HEX(_xlfn.BITXOR(BIN2DEC(RIGHT(HEX2BIN(BQ56,8)&amp;LEFT(HEX2BIN($A$1,8),1),8)),HEX2DEC($B$1))),IF(AND(BX54=3,BQ49=1),DEC2HEX(_xlfn.BITXOR(_xlfn.BITXOR(BIN2DEC(RIGHT(HEX2BIN(BQ56,8)&amp;LEFT(HEX2BIN($A$1,8),1),8)),HEX2DEC($B$1)),HEX2DEC(BQ56))),BQ56)))))),HEX2DEC(IF(AND(BY54=3,BQ50=0),DEC2HEX(_xlfn.BITXOR(BIN2DEC((RIGHT(HEX2BIN(BQ57,8)&amp;LEFT(HEX2BIN($A$1,8),1),8))),HEX2DEC(BQ57)),2),IF(AND(BY54=2,BQ50=0),BIN2HEX(RIGHT(HEX2BIN(BQ57,8)&amp;LEFT(HEX2BIN($A$1,8),1),8)),IF(AND(BY54=2,BQ50=1),DEC2HEX(_xlfn.BITXOR(BIN2DEC(RIGHT(HEX2BIN(BQ57,8)&amp;LEFT(HEX2BIN($A$1,8),1),8)),HEX2DEC($B$1))),IF(AND(BY54=3,BQ50=1),DEC2HEX(_xlfn.BITXOR(_xlfn.BITXOR(BIN2DEC(RIGHT(HEX2BIN(BQ57,8)&amp;LEFT(HEX2BIN($A$1,8),1),8)),HEX2DEC($B$1)),HEX2DEC(BQ57))),BQ57)))))))</f>
        <v>BA</v>
      </c>
      <c r="CB54" s="66" t="str">
        <f>DEC2HEX(_xlfn.BITXOR(_xlfn.BITXOR(_xlfn.BITXOR(HEX2DEC(IF(AND(BV54=3,BR47=0),DEC2HEX(_xlfn.BITXOR(BIN2DEC((RIGHT(HEX2BIN(BR54,8)&amp;LEFT(HEX2BIN($A$1,8),1),8))),HEX2DEC(BR54)),2),IF(AND(BV54=2,BR47=0),BIN2HEX(RIGHT(HEX2BIN(BR54,8)&amp;LEFT(HEX2BIN($A$1,8),1),8)),IF(AND(BV54=2,BR47=1),DEC2HEX(_xlfn.BITXOR(BIN2DEC(RIGHT(HEX2BIN(BR54,8)&amp;LEFT(HEX2BIN($A$1,8),1),8)),HEX2DEC($B$1))),IF(AND(BV54=3,BR47=1),DEC2HEX(_xlfn.BITXOR(_xlfn.BITXOR(BIN2DEC(RIGHT(HEX2BIN(BR54,8)&amp;LEFT(HEX2BIN($A$1,8),1),8)),HEX2DEC($B$1)),HEX2DEC(BR54))),BR54))))),HEX2DEC(IF(AND(BW54=3,BR48=0),DEC2HEX(_xlfn.BITXOR(BIN2DEC((RIGHT(HEX2BIN(BR55,8)&amp;LEFT(HEX2BIN($A$1,8),1),8))),HEX2DEC(BR55)),2),IF(AND(BW54=2,BR48=0),BIN2HEX(RIGHT(HEX2BIN(BR55,8)&amp;LEFT(HEX2BIN($A$1,8),1),8)),IF(AND(BW54=2,BR48=1),DEC2HEX(_xlfn.BITXOR(BIN2DEC(RIGHT(HEX2BIN(BR55,8)&amp;LEFT(HEX2BIN($A$1,8),1),8)),HEX2DEC($B$1))),IF(AND(BW54=3,BR48=1),DEC2HEX(_xlfn.BITXOR(_xlfn.BITXOR(BIN2DEC(RIGHT(HEX2BIN(BR55,8)&amp;LEFT(HEX2BIN($A$1,8),1),8)),HEX2DEC($B$1)),HEX2DEC(BR55))),BR55)))))),HEX2DEC(IF(AND(BX54=3,BR49=0),DEC2HEX(_xlfn.BITXOR(BIN2DEC((RIGHT(HEX2BIN(BR56,8)&amp;LEFT(HEX2BIN($A$1,8),1),8))),HEX2DEC(BR56)),2),IF(AND(BX54=2,BR49=0),BIN2HEX(RIGHT(HEX2BIN(BR56,8)&amp;LEFT(HEX2BIN($A$1,8),1),8)),IF(AND(BX54=2,BR49=1),DEC2HEX(_xlfn.BITXOR(BIN2DEC(RIGHT(HEX2BIN(BR56,8)&amp;LEFT(HEX2BIN($A$1,8),1),8)),HEX2DEC($B$1))),IF(AND(BX54=3,BR49=1),DEC2HEX(_xlfn.BITXOR(_xlfn.BITXOR(BIN2DEC(RIGHT(HEX2BIN(BR56,8)&amp;LEFT(HEX2BIN($A$1,8),1),8)),HEX2DEC($B$1)),HEX2DEC(BR56))),BR56)))))),HEX2DEC(IF(AND(BY54=3,BR50=0),DEC2HEX(_xlfn.BITXOR(BIN2DEC((RIGHT(HEX2BIN(BR57,8)&amp;LEFT(HEX2BIN($A$1,8),1),8))),HEX2DEC(BR57)),2),IF(AND(BY54=2,BR50=0),BIN2HEX(RIGHT(HEX2BIN(BR57,8)&amp;LEFT(HEX2BIN($A$1,8),1),8)),IF(AND(BY54=2,BR50=1),DEC2HEX(_xlfn.BITXOR(BIN2DEC(RIGHT(HEX2BIN(BR57,8)&amp;LEFT(HEX2BIN($A$1,8),1),8)),HEX2DEC($B$1))),IF(AND(BY54=3,BR50=1),DEC2HEX(_xlfn.BITXOR(_xlfn.BITXOR(BIN2DEC(RIGHT(HEX2BIN(BR57,8)&amp;LEFT(HEX2BIN($A$1,8),1),8)),HEX2DEC($B$1)),HEX2DEC(BR57))),BR57)))))))</f>
        <v>84</v>
      </c>
      <c r="CC54" s="68" t="str">
        <f>DEC2HEX(_xlfn.BITXOR(_xlfn.BITXOR(_xlfn.BITXOR(HEX2DEC(IF(AND(BV54=3,BS47=0),DEC2HEX(_xlfn.BITXOR(BIN2DEC((RIGHT(HEX2BIN(BS54,8)&amp;LEFT(HEX2BIN($A$1,8),1),8))),HEX2DEC(BS54)),2),IF(AND(BV54=2,BS47=0),BIN2HEX(RIGHT(HEX2BIN(BS54,8)&amp;LEFT(HEX2BIN($A$1,8),1),8)),IF(AND(BV54=2,BS47=1),DEC2HEX(_xlfn.BITXOR(BIN2DEC(RIGHT(HEX2BIN(BS54,8)&amp;LEFT(HEX2BIN($A$1,8),1),8)),HEX2DEC($B$1))),IF(AND(BV54=3,BS47=1),DEC2HEX(_xlfn.BITXOR(_xlfn.BITXOR(BIN2DEC(RIGHT(HEX2BIN(BS54,8)&amp;LEFT(HEX2BIN($A$1,8),1),8)),HEX2DEC($B$1)),HEX2DEC(BS54))),BS54))))),HEX2DEC(IF(AND(BW54=3,BS48=0),DEC2HEX(_xlfn.BITXOR(BIN2DEC((RIGHT(HEX2BIN(BS55,8)&amp;LEFT(HEX2BIN($A$1,8),1),8))),HEX2DEC(BS55)),2),IF(AND(BW54=2,BS48=0),BIN2HEX(RIGHT(HEX2BIN(BS55,8)&amp;LEFT(HEX2BIN($A$1,8),1),8)),IF(AND(BW54=2,BS48=1),DEC2HEX(_xlfn.BITXOR(BIN2DEC(RIGHT(HEX2BIN(BS55,8)&amp;LEFT(HEX2BIN($A$1,8),1),8)),HEX2DEC($B$1))),IF(AND(BW54=3,BS48=1),DEC2HEX(_xlfn.BITXOR(_xlfn.BITXOR(BIN2DEC(RIGHT(HEX2BIN(BS55,8)&amp;LEFT(HEX2BIN($A$1,8),1),8)),HEX2DEC($B$1)),HEX2DEC(BS55))),BS55)))))),HEX2DEC(IF(AND(BX54=3,BS49=0),DEC2HEX(_xlfn.BITXOR(BIN2DEC((RIGHT(HEX2BIN(BS56,8)&amp;LEFT(HEX2BIN($A$1,8),1),8))),HEX2DEC(BS56)),2),IF(AND(BX54=2,BS49=0),BIN2HEX(RIGHT(HEX2BIN(BS56,8)&amp;LEFT(HEX2BIN($A$1,8),1),8)),IF(AND(BX54=2,BS49=1),DEC2HEX(_xlfn.BITXOR(BIN2DEC(RIGHT(HEX2BIN(BS56,8)&amp;LEFT(HEX2BIN($A$1,8),1),8)),HEX2DEC($B$1))),IF(AND(BX54=3,BS49=1),DEC2HEX(_xlfn.BITXOR(_xlfn.BITXOR(BIN2DEC(RIGHT(HEX2BIN(BS56,8)&amp;LEFT(HEX2BIN($A$1,8),1),8)),HEX2DEC($B$1)),HEX2DEC(BS56))),BS56)))))),HEX2DEC(IF(AND(BY54=3,BS50=0),DEC2HEX(_xlfn.BITXOR(BIN2DEC((RIGHT(HEX2BIN(BS57,8)&amp;LEFT(HEX2BIN($A$1,8),1),8))),HEX2DEC(BS57)),2),IF(AND(BY54=2,BS50=0),BIN2HEX(RIGHT(HEX2BIN(BS57,8)&amp;LEFT(HEX2BIN($A$1,8),1),8)),IF(AND(BY54=2,BS50=1),DEC2HEX(_xlfn.BITXOR(BIN2DEC(RIGHT(HEX2BIN(BS57,8)&amp;LEFT(HEX2BIN($A$1,8),1),8)),HEX2DEC($B$1))),IF(AND(BY54=3,BS50=1),DEC2HEX(_xlfn.BITXOR(_xlfn.BITXOR(BIN2DEC(RIGHT(HEX2BIN(BS57,8)&amp;LEFT(HEX2BIN($A$1,8),1),8)),HEX2DEC($B$1)),HEX2DEC(BS57))),BS57)))))))</f>
        <v>E8</v>
      </c>
      <c r="CD54" s="66" t="str">
        <f>DEC2HEX(_xlfn.BITXOR(_xlfn.BITXOR(_xlfn.BITXOR(HEX2DEC(IF(AND(BV54=3,BT47=0),DEC2HEX(_xlfn.BITXOR(BIN2DEC((RIGHT(HEX2BIN(BT54,8)&amp;LEFT(HEX2BIN($A$1,8),1),8))),HEX2DEC(BT54)),2),IF(AND(BV54=2,BT47=0),BIN2HEX(RIGHT(HEX2BIN(BT54,8)&amp;LEFT(HEX2BIN($A$1,8),1),8)),IF(AND(BV54=2,BT47=1),DEC2HEX(_xlfn.BITXOR(BIN2DEC(RIGHT(HEX2BIN(BT54,8)&amp;LEFT(HEX2BIN($A$1,8),1),8)),HEX2DEC($B$1))),IF(AND(BV54=3,BT47=1),DEC2HEX(_xlfn.BITXOR(_xlfn.BITXOR(BIN2DEC(RIGHT(HEX2BIN(BT54,8)&amp;LEFT(HEX2BIN($A$1,8),1),8)),HEX2DEC($B$1)),HEX2DEC(BT54))),BT54))))),HEX2DEC(IF(AND(BW54=3,BT48=0),DEC2HEX(_xlfn.BITXOR(BIN2DEC((RIGHT(HEX2BIN(BT55,8)&amp;LEFT(HEX2BIN($A$1,8),1),8))),HEX2DEC(BT55)),2),IF(AND(BW54=2,BT48=0),BIN2HEX(RIGHT(HEX2BIN(BT55,8)&amp;LEFT(HEX2BIN($A$1,8),1),8)),IF(AND(BW54=2,BT48=1),DEC2HEX(_xlfn.BITXOR(BIN2DEC(RIGHT(HEX2BIN(BT55,8)&amp;LEFT(HEX2BIN($A$1,8),1),8)),HEX2DEC($B$1))),IF(AND(BW54=3,BT48=1),DEC2HEX(_xlfn.BITXOR(_xlfn.BITXOR(BIN2DEC(RIGHT(HEX2BIN(BT55,8)&amp;LEFT(HEX2BIN($A$1,8),1),8)),HEX2DEC($B$1)),HEX2DEC(BT55))),BT55)))))),HEX2DEC(IF(AND(BX54=3,BT49=0),DEC2HEX(_xlfn.BITXOR(BIN2DEC((RIGHT(HEX2BIN(BT56,8)&amp;LEFT(HEX2BIN($A$1,8),1),8))),HEX2DEC(BT56)),2),IF(AND(BX54=2,BT49=0),BIN2HEX(RIGHT(HEX2BIN(BT56,8)&amp;LEFT(HEX2BIN($A$1,8),1),8)),IF(AND(BX54=2,BT49=1),DEC2HEX(_xlfn.BITXOR(BIN2DEC(RIGHT(HEX2BIN(BT56,8)&amp;LEFT(HEX2BIN($A$1,8),1),8)),HEX2DEC($B$1))),IF(AND(BX54=3,BT49=1),DEC2HEX(_xlfn.BITXOR(_xlfn.BITXOR(BIN2DEC(RIGHT(HEX2BIN(BT56,8)&amp;LEFT(HEX2BIN($A$1,8),1),8)),HEX2DEC($B$1)),HEX2DEC(BT56))),BT56)))))),HEX2DEC(IF(AND(BY54=3,BT50=0),DEC2HEX(_xlfn.BITXOR(BIN2DEC((RIGHT(HEX2BIN(BT57,8)&amp;LEFT(HEX2BIN($A$1,8),1),8))),HEX2DEC(BT57)),2),IF(AND(BY54=2,BT50=0),BIN2HEX(RIGHT(HEX2BIN(BT57,8)&amp;LEFT(HEX2BIN($A$1,8),1),8)),IF(AND(BY54=2,BT50=1),DEC2HEX(_xlfn.BITXOR(BIN2DEC(RIGHT(HEX2BIN(BT57,8)&amp;LEFT(HEX2BIN($A$1,8),1),8)),HEX2DEC($B$1))),IF(AND(BY54=3,BT50=1),DEC2HEX(_xlfn.BITXOR(_xlfn.BITXOR(BIN2DEC(RIGHT(HEX2BIN(BT57,8)&amp;LEFT(HEX2BIN($A$1,8),1),8)),HEX2DEC($B$1)),HEX2DEC(BT57))),BT57)))))))</f>
        <v>1B</v>
      </c>
    </row>
    <row r="55" spans="1:82" x14ac:dyDescent="0.25">
      <c r="A55" s="11"/>
      <c r="B55" s="11"/>
      <c r="D55" s="11"/>
      <c r="E55" s="8"/>
      <c r="F55" s="11"/>
      <c r="G55" s="11"/>
      <c r="H55" s="8"/>
      <c r="I55" s="11"/>
      <c r="J55" s="8"/>
      <c r="K55" s="8"/>
      <c r="L55" s="11"/>
      <c r="M55" s="8"/>
      <c r="N55" s="8"/>
      <c r="O55" s="11"/>
      <c r="P55" s="8"/>
      <c r="Q55" s="8"/>
      <c r="R55" s="11"/>
      <c r="T55" s="11"/>
      <c r="U55" s="8"/>
      <c r="V55" s="8"/>
      <c r="W55" s="11"/>
      <c r="X55" s="8"/>
      <c r="Y55" s="8"/>
      <c r="Z55" s="11"/>
      <c r="AA55" s="8"/>
      <c r="AB55" s="8"/>
      <c r="AC55" s="11"/>
      <c r="AD55" s="8"/>
      <c r="AE55" s="8"/>
      <c r="AF55" s="8"/>
      <c r="AG55" s="8"/>
      <c r="BQ55" s="66" t="s">
        <v>160</v>
      </c>
      <c r="BR55" s="66">
        <v>93</v>
      </c>
      <c r="BS55" s="66">
        <v>92</v>
      </c>
      <c r="BT55" s="66" t="s">
        <v>104</v>
      </c>
      <c r="BU55" s="66"/>
      <c r="BV55" s="69">
        <v>1</v>
      </c>
      <c r="BW55" s="70">
        <v>2</v>
      </c>
      <c r="BX55" s="70">
        <v>3</v>
      </c>
      <c r="BY55" s="71">
        <v>1</v>
      </c>
      <c r="BZ55" s="67"/>
      <c r="CA55" s="66" t="str">
        <f>DEC2HEX(_xlfn.BITXOR(_xlfn.BITXOR(_xlfn.BITXOR(HEX2DEC(IF(AND(BV55=3,BQ47=0),DEC2HEX(_xlfn.BITXOR(BIN2DEC((RIGHT(HEX2BIN(BQ54,8)&amp;LEFT(HEX2BIN($A$1,8),1),8))),HEX2DEC(BQ54)),2),IF(AND(BV55=2,BQ47=0),BIN2HEX(RIGHT(HEX2BIN(BQ54,8)&amp;LEFT(HEX2BIN($A$1,8),1),8)),IF(AND(BV55=2,BQ47=1),DEC2HEX(_xlfn.BITXOR(BIN2DEC(RIGHT(HEX2BIN(BQ54,8)&amp;LEFT(HEX2BIN($A$1,8),1),8)),HEX2DEC($B$1))),IF(AND(BV55=3,BQ47=1),DEC2HEX(_xlfn.BITXOR(_xlfn.BITXOR(BIN2DEC(RIGHT(HEX2BIN(BQ54,8)&amp;LEFT(HEX2BIN($A$1,8),1),8)),HEX2DEC($B$1)),HEX2DEC(BQ54))),BQ54))))),HEX2DEC(IF(AND(BW55=3,BQ48=0),DEC2HEX(_xlfn.BITXOR(BIN2DEC((RIGHT(HEX2BIN(BQ55,8)&amp;LEFT(HEX2BIN($A$1,8),1),8))),HEX2DEC(BQ55)),2),IF(AND(BW55=2,BQ48=0),BIN2HEX(RIGHT(HEX2BIN(BQ55,8)&amp;LEFT(HEX2BIN($A$1,8),1),8)),IF(AND(BW55=2,BQ48=1),DEC2HEX(_xlfn.BITXOR(BIN2DEC(RIGHT(HEX2BIN(BQ55,8)&amp;LEFT(HEX2BIN($A$1,8),1),8)),HEX2DEC($B$1))),IF(AND(BW55=3,BQ48=1),DEC2HEX(_xlfn.BITXOR(_xlfn.BITXOR(BIN2DEC(RIGHT(HEX2BIN(BQ55,8)&amp;LEFT(HEX2BIN($A$1,8),1),8)),HEX2DEC($B$1)),HEX2DEC(BQ55))),BQ55)))))),HEX2DEC(IF(AND(BX55=3,BQ49=0),DEC2HEX(_xlfn.BITXOR(BIN2DEC((RIGHT(HEX2BIN(BQ56,8)&amp;LEFT(HEX2BIN($A$1,8),1),8))),HEX2DEC(BQ56)),2),IF(AND(BX55=2,BQ49=0),BIN2HEX(RIGHT(HEX2BIN(BQ56,8)&amp;LEFT(HEX2BIN($A$1,8),1),8)),IF(AND(BX55=2,BQ49=1),DEC2HEX(_xlfn.BITXOR(BIN2DEC(RIGHT(HEX2BIN(BQ56,8)&amp;LEFT(HEX2BIN($A$1,8),1),8)),HEX2DEC($B$1))),IF(AND(BX55=3,BQ49=1),DEC2HEX(_xlfn.BITXOR(_xlfn.BITXOR(BIN2DEC(RIGHT(HEX2BIN(BQ56,8)&amp;LEFT(HEX2BIN($A$1,8),1),8)),HEX2DEC($B$1)),HEX2DEC(BQ56))),BQ56)))))),HEX2DEC(IF(AND(BY55=3,BQ50=0),DEC2HEX(_xlfn.BITXOR(BIN2DEC((RIGHT(HEX2BIN(BQ57,8)&amp;LEFT(HEX2BIN($A$1,8),1),8))),HEX2DEC(BQ57)),2),IF(AND(BY55=2,BQ50=0),BIN2HEX(RIGHT(HEX2BIN(BQ57,8)&amp;LEFT(HEX2BIN($A$1,8),1),8)),IF(AND(BY55=2,BQ50=1),DEC2HEX(_xlfn.BITXOR(BIN2DEC(RIGHT(HEX2BIN(BQ57,8)&amp;LEFT(HEX2BIN($A$1,8),1),8)),HEX2DEC($B$1))),IF(AND(BY55=3,BQ50=1),DEC2HEX(_xlfn.BITXOR(_xlfn.BITXOR(BIN2DEC(RIGHT(HEX2BIN(BQ57,8)&amp;LEFT(HEX2BIN($A$1,8),1),8)),HEX2DEC($B$1)),HEX2DEC(BQ57))),BQ57)))))))</f>
        <v>75</v>
      </c>
      <c r="CB55" s="66" t="str">
        <f>DEC2HEX(_xlfn.BITXOR(_xlfn.BITXOR(_xlfn.BITXOR(HEX2DEC(IF(AND(BV55=3,BR47=0),DEC2HEX(_xlfn.BITXOR(BIN2DEC((RIGHT(HEX2BIN(BR54,8)&amp;LEFT(HEX2BIN($A$1,8),1),8))),HEX2DEC(BR54)),2),IF(AND(BV55=2,BR47=0),BIN2HEX(RIGHT(HEX2BIN(BR54,8)&amp;LEFT(HEX2BIN($A$1,8),1),8)),IF(AND(BV55=2,BR47=1),DEC2HEX(_xlfn.BITXOR(BIN2DEC(RIGHT(HEX2BIN(BR54,8)&amp;LEFT(HEX2BIN($A$1,8),1),8)),HEX2DEC($B$1))),IF(AND(BV55=3,BR47=1),DEC2HEX(_xlfn.BITXOR(_xlfn.BITXOR(BIN2DEC(RIGHT(HEX2BIN(BR54,8)&amp;LEFT(HEX2BIN($A$1,8),1),8)),HEX2DEC($B$1)),HEX2DEC(BR54))),BR54))))),HEX2DEC(IF(AND(BW55=3,BR48=0),DEC2HEX(_xlfn.BITXOR(BIN2DEC((RIGHT(HEX2BIN(BR55,8)&amp;LEFT(HEX2BIN($A$1,8),1),8))),HEX2DEC(BR55)),2),IF(AND(BW55=2,BR48=0),BIN2HEX(RIGHT(HEX2BIN(BR55,8)&amp;LEFT(HEX2BIN($A$1,8),1),8)),IF(AND(BW55=2,BR48=1),DEC2HEX(_xlfn.BITXOR(BIN2DEC(RIGHT(HEX2BIN(BR55,8)&amp;LEFT(HEX2BIN($A$1,8),1),8)),HEX2DEC($B$1))),IF(AND(BW55=3,BR48=1),DEC2HEX(_xlfn.BITXOR(_xlfn.BITXOR(BIN2DEC(RIGHT(HEX2BIN(BR55,8)&amp;LEFT(HEX2BIN($A$1,8),1),8)),HEX2DEC($B$1)),HEX2DEC(BR55))),BR55)))))),HEX2DEC(IF(AND(BX55=3,BR49=0),DEC2HEX(_xlfn.BITXOR(BIN2DEC((RIGHT(HEX2BIN(BR56,8)&amp;LEFT(HEX2BIN($A$1,8),1),8))),HEX2DEC(BR56)),2),IF(AND(BX55=2,BR49=0),BIN2HEX(RIGHT(HEX2BIN(BR56,8)&amp;LEFT(HEX2BIN($A$1,8),1),8)),IF(AND(BX55=2,BR49=1),DEC2HEX(_xlfn.BITXOR(BIN2DEC(RIGHT(HEX2BIN(BR56,8)&amp;LEFT(HEX2BIN($A$1,8),1),8)),HEX2DEC($B$1))),IF(AND(BX55=3,BR49=1),DEC2HEX(_xlfn.BITXOR(_xlfn.BITXOR(BIN2DEC(RIGHT(HEX2BIN(BR56,8)&amp;LEFT(HEX2BIN($A$1,8),1),8)),HEX2DEC($B$1)),HEX2DEC(BR56))),BR56)))))),HEX2DEC(IF(AND(BY55=3,BR50=0),DEC2HEX(_xlfn.BITXOR(BIN2DEC((RIGHT(HEX2BIN(BR57,8)&amp;LEFT(HEX2BIN($A$1,8),1),8))),HEX2DEC(BR57)),2),IF(AND(BY55=2,BR50=0),BIN2HEX(RIGHT(HEX2BIN(BR57,8)&amp;LEFT(HEX2BIN($A$1,8),1),8)),IF(AND(BY55=2,BR50=1),DEC2HEX(_xlfn.BITXOR(BIN2DEC(RIGHT(HEX2BIN(BR57,8)&amp;LEFT(HEX2BIN($A$1,8),1),8)),HEX2DEC($B$1))),IF(AND(BY55=3,BR50=1),DEC2HEX(_xlfn.BITXOR(_xlfn.BITXOR(BIN2DEC(RIGHT(HEX2BIN(BR57,8)&amp;LEFT(HEX2BIN($A$1,8),1),8)),HEX2DEC($B$1)),HEX2DEC(BR57))),BR57)))))))</f>
        <v>A4</v>
      </c>
      <c r="CC55" s="66" t="str">
        <f>DEC2HEX(_xlfn.BITXOR(_xlfn.BITXOR(_xlfn.BITXOR(HEX2DEC(IF(AND(BV55=3,BS47=0),DEC2HEX(_xlfn.BITXOR(BIN2DEC((RIGHT(HEX2BIN(BS54,8)&amp;LEFT(HEX2BIN($A$1,8),1),8))),HEX2DEC(BS54)),2),IF(AND(BV55=2,BS47=0),BIN2HEX(RIGHT(HEX2BIN(BS54,8)&amp;LEFT(HEX2BIN($A$1,8),1),8)),IF(AND(BV55=2,BS47=1),DEC2HEX(_xlfn.BITXOR(BIN2DEC(RIGHT(HEX2BIN(BS54,8)&amp;LEFT(HEX2BIN($A$1,8),1),8)),HEX2DEC($B$1))),IF(AND(BV55=3,BS47=1),DEC2HEX(_xlfn.BITXOR(_xlfn.BITXOR(BIN2DEC(RIGHT(HEX2BIN(BS54,8)&amp;LEFT(HEX2BIN($A$1,8),1),8)),HEX2DEC($B$1)),HEX2DEC(BS54))),BS54))))),HEX2DEC(IF(AND(BW55=3,BS48=0),DEC2HEX(_xlfn.BITXOR(BIN2DEC((RIGHT(HEX2BIN(BS55,8)&amp;LEFT(HEX2BIN($A$1,8),1),8))),HEX2DEC(BS55)),2),IF(AND(BW55=2,BS48=0),BIN2HEX(RIGHT(HEX2BIN(BS55,8)&amp;LEFT(HEX2BIN($A$1,8),1),8)),IF(AND(BW55=2,BS48=1),DEC2HEX(_xlfn.BITXOR(BIN2DEC(RIGHT(HEX2BIN(BS55,8)&amp;LEFT(HEX2BIN($A$1,8),1),8)),HEX2DEC($B$1))),IF(AND(BW55=3,BS48=1),DEC2HEX(_xlfn.BITXOR(_xlfn.BITXOR(BIN2DEC(RIGHT(HEX2BIN(BS55,8)&amp;LEFT(HEX2BIN($A$1,8),1),8)),HEX2DEC($B$1)),HEX2DEC(BS55))),BS55)))))),HEX2DEC(IF(AND(BX55=3,BS49=0),DEC2HEX(_xlfn.BITXOR(BIN2DEC((RIGHT(HEX2BIN(BS56,8)&amp;LEFT(HEX2BIN($A$1,8),1),8))),HEX2DEC(BS56)),2),IF(AND(BX55=2,BS49=0),BIN2HEX(RIGHT(HEX2BIN(BS56,8)&amp;LEFT(HEX2BIN($A$1,8),1),8)),IF(AND(BX55=2,BS49=1),DEC2HEX(_xlfn.BITXOR(BIN2DEC(RIGHT(HEX2BIN(BS56,8)&amp;LEFT(HEX2BIN($A$1,8),1),8)),HEX2DEC($B$1))),IF(AND(BX55=3,BS49=1),DEC2HEX(_xlfn.BITXOR(_xlfn.BITXOR(BIN2DEC(RIGHT(HEX2BIN(BS56,8)&amp;LEFT(HEX2BIN($A$1,8),1),8)),HEX2DEC($B$1)),HEX2DEC(BS56))),BS56)))))),HEX2DEC(IF(AND(BY55=3,BS50=0),DEC2HEX(_xlfn.BITXOR(BIN2DEC((RIGHT(HEX2BIN(BS57,8)&amp;LEFT(HEX2BIN($A$1,8),1),8))),HEX2DEC(BS57)),2),IF(AND(BY55=2,BS50=0),BIN2HEX(RIGHT(HEX2BIN(BS57,8)&amp;LEFT(HEX2BIN($A$1,8),1),8)),IF(AND(BY55=2,BS50=1),DEC2HEX(_xlfn.BITXOR(BIN2DEC(RIGHT(HEX2BIN(BS57,8)&amp;LEFT(HEX2BIN($A$1,8),1),8)),HEX2DEC($B$1))),IF(AND(BY55=3,BS50=1),DEC2HEX(_xlfn.BITXOR(_xlfn.BITXOR(BIN2DEC(RIGHT(HEX2BIN(BS57,8)&amp;LEFT(HEX2BIN($A$1,8),1),8)),HEX2DEC($B$1)),HEX2DEC(BS57))),BS57)))))))</f>
        <v>8D</v>
      </c>
      <c r="CD55" s="66" t="str">
        <f>DEC2HEX(_xlfn.BITXOR(_xlfn.BITXOR(_xlfn.BITXOR(HEX2DEC(IF(AND(BV55=3,BT47=0),DEC2HEX(_xlfn.BITXOR(BIN2DEC((RIGHT(HEX2BIN(BT54,8)&amp;LEFT(HEX2BIN($A$1,8),1),8))),HEX2DEC(BT54)),2),IF(AND(BV55=2,BT47=0),BIN2HEX(RIGHT(HEX2BIN(BT54,8)&amp;LEFT(HEX2BIN($A$1,8),1),8)),IF(AND(BV55=2,BT47=1),DEC2HEX(_xlfn.BITXOR(BIN2DEC(RIGHT(HEX2BIN(BT54,8)&amp;LEFT(HEX2BIN($A$1,8),1),8)),HEX2DEC($B$1))),IF(AND(BV55=3,BT47=1),DEC2HEX(_xlfn.BITXOR(_xlfn.BITXOR(BIN2DEC(RIGHT(HEX2BIN(BT54,8)&amp;LEFT(HEX2BIN($A$1,8),1),8)),HEX2DEC($B$1)),HEX2DEC(BT54))),BT54))))),HEX2DEC(IF(AND(BW55=3,BT48=0),DEC2HEX(_xlfn.BITXOR(BIN2DEC((RIGHT(HEX2BIN(BT55,8)&amp;LEFT(HEX2BIN($A$1,8),1),8))),HEX2DEC(BT55)),2),IF(AND(BW55=2,BT48=0),BIN2HEX(RIGHT(HEX2BIN(BT55,8)&amp;LEFT(HEX2BIN($A$1,8),1),8)),IF(AND(BW55=2,BT48=1),DEC2HEX(_xlfn.BITXOR(BIN2DEC(RIGHT(HEX2BIN(BT55,8)&amp;LEFT(HEX2BIN($A$1,8),1),8)),HEX2DEC($B$1))),IF(AND(BW55=3,BT48=1),DEC2HEX(_xlfn.BITXOR(_xlfn.BITXOR(BIN2DEC(RIGHT(HEX2BIN(BT55,8)&amp;LEFT(HEX2BIN($A$1,8),1),8)),HEX2DEC($B$1)),HEX2DEC(BT55))),BT55)))))),HEX2DEC(IF(AND(BX55=3,BT49=0),DEC2HEX(_xlfn.BITXOR(BIN2DEC((RIGHT(HEX2BIN(BT56,8)&amp;LEFT(HEX2BIN($A$1,8),1),8))),HEX2DEC(BT56)),2),IF(AND(BX55=2,BT49=0),BIN2HEX(RIGHT(HEX2BIN(BT56,8)&amp;LEFT(HEX2BIN($A$1,8),1),8)),IF(AND(BX55=2,BT49=1),DEC2HEX(_xlfn.BITXOR(BIN2DEC(RIGHT(HEX2BIN(BT56,8)&amp;LEFT(HEX2BIN($A$1,8),1),8)),HEX2DEC($B$1))),IF(AND(BX55=3,BT49=1),DEC2HEX(_xlfn.BITXOR(_xlfn.BITXOR(BIN2DEC(RIGHT(HEX2BIN(BT56,8)&amp;LEFT(HEX2BIN($A$1,8),1),8)),HEX2DEC($B$1)),HEX2DEC(BT56))),BT56)))))),HEX2DEC(IF(AND(BY55=3,BT50=0),DEC2HEX(_xlfn.BITXOR(BIN2DEC((RIGHT(HEX2BIN(BT57,8)&amp;LEFT(HEX2BIN($A$1,8),1),8))),HEX2DEC(BT57)),2),IF(AND(BY55=2,BT50=0),BIN2HEX(RIGHT(HEX2BIN(BT57,8)&amp;LEFT(HEX2BIN($A$1,8),1),8)),IF(AND(BY55=2,BT50=1),DEC2HEX(_xlfn.BITXOR(BIN2DEC(RIGHT(HEX2BIN(BT57,8)&amp;LEFT(HEX2BIN($A$1,8),1),8)),HEX2DEC($B$1))),IF(AND(BY55=3,BT50=1),DEC2HEX(_xlfn.BITXOR(_xlfn.BITXOR(BIN2DEC(RIGHT(HEX2BIN(BT57,8)&amp;LEFT(HEX2BIN($A$1,8),1),8)),HEX2DEC($B$1)),HEX2DEC(BT57))),BT57)))))))</f>
        <v>40</v>
      </c>
    </row>
    <row r="56" spans="1:82" x14ac:dyDescent="0.25">
      <c r="A56" s="11"/>
      <c r="B56" s="11"/>
      <c r="D56" s="11"/>
      <c r="E56" s="8"/>
      <c r="F56" s="11"/>
      <c r="G56" s="11"/>
      <c r="H56" s="8"/>
      <c r="I56" s="11"/>
      <c r="J56" s="8"/>
      <c r="K56" s="8"/>
      <c r="L56" s="11"/>
      <c r="M56" s="8"/>
      <c r="N56" s="8"/>
      <c r="O56" s="11"/>
      <c r="P56" s="8"/>
      <c r="Q56" s="8"/>
      <c r="R56" s="11"/>
      <c r="T56" s="11"/>
      <c r="U56" s="8"/>
      <c r="V56" s="8"/>
      <c r="W56" s="11"/>
      <c r="X56" s="8"/>
      <c r="Y56" s="8"/>
      <c r="Z56" s="11"/>
      <c r="AA56" s="8"/>
      <c r="AB56" s="8"/>
      <c r="AC56" s="11"/>
      <c r="AD56" s="8"/>
      <c r="AE56" s="8"/>
      <c r="AF56" s="8"/>
      <c r="AG56" s="8"/>
      <c r="BQ56" s="66" t="s">
        <v>100</v>
      </c>
      <c r="BR56" s="66" t="s">
        <v>159</v>
      </c>
      <c r="BS56" s="66" t="s">
        <v>76</v>
      </c>
      <c r="BT56" s="66">
        <v>30</v>
      </c>
      <c r="BU56" s="66"/>
      <c r="BV56" s="68">
        <v>1</v>
      </c>
      <c r="BW56" s="68">
        <v>1</v>
      </c>
      <c r="BX56" s="68">
        <v>2</v>
      </c>
      <c r="BY56" s="68">
        <v>3</v>
      </c>
      <c r="BZ56" s="67"/>
      <c r="CA56" s="66" t="str">
        <f>DEC2HEX(_xlfn.BITXOR(_xlfn.BITXOR(_xlfn.BITXOR(HEX2DEC(IF(AND(BV56=3,BQ47=0),DEC2HEX(_xlfn.BITXOR(BIN2DEC((RIGHT(HEX2BIN(BQ54,8)&amp;LEFT(HEX2BIN($A$1,8),1),8))),HEX2DEC(BQ54)),2),IF(AND(BV56=2,BQ47=0),BIN2HEX(RIGHT(HEX2BIN(BQ54,8)&amp;LEFT(HEX2BIN($A$1,8),1),8)),IF(AND(BV56=2,BQ47=1),DEC2HEX(_xlfn.BITXOR(BIN2DEC(RIGHT(HEX2BIN(BQ54,8)&amp;LEFT(HEX2BIN($A$1,8),1),8)),HEX2DEC($B$1))),IF(AND(BV56=3,BQ47=1),DEC2HEX(_xlfn.BITXOR(_xlfn.BITXOR(BIN2DEC(RIGHT(HEX2BIN(BQ54,8)&amp;LEFT(HEX2BIN($A$1,8),1),8)),HEX2DEC($B$1)),HEX2DEC(BQ54))),BQ54))))),HEX2DEC(IF(AND(BW56=3,BQ48=0),DEC2HEX(_xlfn.BITXOR(BIN2DEC((RIGHT(HEX2BIN(BQ55,8)&amp;LEFT(HEX2BIN($A$1,8),1),8))),HEX2DEC(BQ55)),2),IF(AND(BW56=2,BQ48=0),BIN2HEX(RIGHT(HEX2BIN(BQ55,8)&amp;LEFT(HEX2BIN($A$1,8),1),8)),IF(AND(BW56=2,BQ48=1),DEC2HEX(_xlfn.BITXOR(BIN2DEC(RIGHT(HEX2BIN(BQ55,8)&amp;LEFT(HEX2BIN($A$1,8),1),8)),HEX2DEC($B$1))),IF(AND(BW56=3,BQ48=1),DEC2HEX(_xlfn.BITXOR(_xlfn.BITXOR(BIN2DEC(RIGHT(HEX2BIN(BQ55,8)&amp;LEFT(HEX2BIN($A$1,8),1),8)),HEX2DEC($B$1)),HEX2DEC(BQ55))),BQ55)))))),HEX2DEC(IF(AND(BX56=3,BQ49=0),DEC2HEX(_xlfn.BITXOR(BIN2DEC((RIGHT(HEX2BIN(BQ56,8)&amp;LEFT(HEX2BIN($A$1,8),1),8))),HEX2DEC(BQ56)),2),IF(AND(BX56=2,BQ49=0),BIN2HEX(RIGHT(HEX2BIN(BQ56,8)&amp;LEFT(HEX2BIN($A$1,8),1),8)),IF(AND(BX56=2,BQ49=1),DEC2HEX(_xlfn.BITXOR(BIN2DEC(RIGHT(HEX2BIN(BQ56,8)&amp;LEFT(HEX2BIN($A$1,8),1),8)),HEX2DEC($B$1))),IF(AND(BX56=3,BQ49=1),DEC2HEX(_xlfn.BITXOR(_xlfn.BITXOR(BIN2DEC(RIGHT(HEX2BIN(BQ56,8)&amp;LEFT(HEX2BIN($A$1,8),1),8)),HEX2DEC($B$1)),HEX2DEC(BQ56))),BQ56)))))),HEX2DEC(IF(AND(BY56=3,BQ50=0),DEC2HEX(_xlfn.BITXOR(BIN2DEC((RIGHT(HEX2BIN(BQ57,8)&amp;LEFT(HEX2BIN($A$1,8),1),8))),HEX2DEC(BQ57)),2),IF(AND(BY56=2,BQ50=0),BIN2HEX(RIGHT(HEX2BIN(BQ57,8)&amp;LEFT(HEX2BIN($A$1,8),1),8)),IF(AND(BY56=2,BQ50=1),DEC2HEX(_xlfn.BITXOR(BIN2DEC(RIGHT(HEX2BIN(BQ57,8)&amp;LEFT(HEX2BIN($A$1,8),1),8)),HEX2DEC($B$1))),IF(AND(BY56=3,BQ50=1),DEC2HEX(_xlfn.BITXOR(_xlfn.BITXOR(BIN2DEC(RIGHT(HEX2BIN(BQ57,8)&amp;LEFT(HEX2BIN($A$1,8),1),8)),HEX2DEC($B$1)),HEX2DEC(BQ57))),BQ57)))))))</f>
        <v>F4</v>
      </c>
      <c r="CB56" s="66" t="str">
        <f>DEC2HEX(_xlfn.BITXOR(_xlfn.BITXOR(_xlfn.BITXOR(HEX2DEC(IF(AND(BV56=3,BR47=0),DEC2HEX(_xlfn.BITXOR(BIN2DEC((RIGHT(HEX2BIN(BR54,8)&amp;LEFT(HEX2BIN($A$1,8),1),8))),HEX2DEC(BR54)),2),IF(AND(BV56=2,BR47=0),BIN2HEX(RIGHT(HEX2BIN(BR54,8)&amp;LEFT(HEX2BIN($A$1,8),1),8)),IF(AND(BV56=2,BR47=1),DEC2HEX(_xlfn.BITXOR(BIN2DEC(RIGHT(HEX2BIN(BR54,8)&amp;LEFT(HEX2BIN($A$1,8),1),8)),HEX2DEC($B$1))),IF(AND(BV56=3,BR47=1),DEC2HEX(_xlfn.BITXOR(_xlfn.BITXOR(BIN2DEC(RIGHT(HEX2BIN(BR54,8)&amp;LEFT(HEX2BIN($A$1,8),1),8)),HEX2DEC($B$1)),HEX2DEC(BR54))),BR54))))),HEX2DEC(IF(AND(BW56=3,BR48=0),DEC2HEX(_xlfn.BITXOR(BIN2DEC((RIGHT(HEX2BIN(BR55,8)&amp;LEFT(HEX2BIN($A$1,8),1),8))),HEX2DEC(BR55)),2),IF(AND(BW56=2,BR48=0),BIN2HEX(RIGHT(HEX2BIN(BR55,8)&amp;LEFT(HEX2BIN($A$1,8),1),8)),IF(AND(BW56=2,BR48=1),DEC2HEX(_xlfn.BITXOR(BIN2DEC(RIGHT(HEX2BIN(BR55,8)&amp;LEFT(HEX2BIN($A$1,8),1),8)),HEX2DEC($B$1))),IF(AND(BW56=3,BR48=1),DEC2HEX(_xlfn.BITXOR(_xlfn.BITXOR(BIN2DEC(RIGHT(HEX2BIN(BR55,8)&amp;LEFT(HEX2BIN($A$1,8),1),8)),HEX2DEC($B$1)),HEX2DEC(BR55))),BR55)))))),HEX2DEC(IF(AND(BX56=3,BR49=0),DEC2HEX(_xlfn.BITXOR(BIN2DEC((RIGHT(HEX2BIN(BR56,8)&amp;LEFT(HEX2BIN($A$1,8),1),8))),HEX2DEC(BR56)),2),IF(AND(BX56=2,BR49=0),BIN2HEX(RIGHT(HEX2BIN(BR56,8)&amp;LEFT(HEX2BIN($A$1,8),1),8)),IF(AND(BX56=2,BR49=1),DEC2HEX(_xlfn.BITXOR(BIN2DEC(RIGHT(HEX2BIN(BR56,8)&amp;LEFT(HEX2BIN($A$1,8),1),8)),HEX2DEC($B$1))),IF(AND(BX56=3,BR49=1),DEC2HEX(_xlfn.BITXOR(_xlfn.BITXOR(BIN2DEC(RIGHT(HEX2BIN(BR56,8)&amp;LEFT(HEX2BIN($A$1,8),1),8)),HEX2DEC($B$1)),HEX2DEC(BR56))),BR56)))))),HEX2DEC(IF(AND(BY56=3,BR50=0),DEC2HEX(_xlfn.BITXOR(BIN2DEC((RIGHT(HEX2BIN(BR57,8)&amp;LEFT(HEX2BIN($A$1,8),1),8))),HEX2DEC(BR57)),2),IF(AND(BY56=2,BR50=0),BIN2HEX(RIGHT(HEX2BIN(BR57,8)&amp;LEFT(HEX2BIN($A$1,8),1),8)),IF(AND(BY56=2,BR50=1),DEC2HEX(_xlfn.BITXOR(BIN2DEC(RIGHT(HEX2BIN(BR57,8)&amp;LEFT(HEX2BIN($A$1,8),1),8)),HEX2DEC($B$1))),IF(AND(BY56=3,BR50=1),DEC2HEX(_xlfn.BITXOR(_xlfn.BITXOR(BIN2DEC(RIGHT(HEX2BIN(BR57,8)&amp;LEFT(HEX2BIN($A$1,8),1),8)),HEX2DEC($B$1)),HEX2DEC(BR57))),BR57)))))))</f>
        <v>8D</v>
      </c>
      <c r="CC56" s="66" t="str">
        <f>DEC2HEX(_xlfn.BITXOR(_xlfn.BITXOR(_xlfn.BITXOR(HEX2DEC(IF(AND(BV56=3,BS47=0),DEC2HEX(_xlfn.BITXOR(BIN2DEC((RIGHT(HEX2BIN(BS54,8)&amp;LEFT(HEX2BIN($A$1,8),1),8))),HEX2DEC(BS54)),2),IF(AND(BV56=2,BS47=0),BIN2HEX(RIGHT(HEX2BIN(BS54,8)&amp;LEFT(HEX2BIN($A$1,8),1),8)),IF(AND(BV56=2,BS47=1),DEC2HEX(_xlfn.BITXOR(BIN2DEC(RIGHT(HEX2BIN(BS54,8)&amp;LEFT(HEX2BIN($A$1,8),1),8)),HEX2DEC($B$1))),IF(AND(BV56=3,BS47=1),DEC2HEX(_xlfn.BITXOR(_xlfn.BITXOR(BIN2DEC(RIGHT(HEX2BIN(BS54,8)&amp;LEFT(HEX2BIN($A$1,8),1),8)),HEX2DEC($B$1)),HEX2DEC(BS54))),BS54))))),HEX2DEC(IF(AND(BW56=3,BS48=0),DEC2HEX(_xlfn.BITXOR(BIN2DEC((RIGHT(HEX2BIN(BS55,8)&amp;LEFT(HEX2BIN($A$1,8),1),8))),HEX2DEC(BS55)),2),IF(AND(BW56=2,BS48=0),BIN2HEX(RIGHT(HEX2BIN(BS55,8)&amp;LEFT(HEX2BIN($A$1,8),1),8)),IF(AND(BW56=2,BS48=1),DEC2HEX(_xlfn.BITXOR(BIN2DEC(RIGHT(HEX2BIN(BS55,8)&amp;LEFT(HEX2BIN($A$1,8),1),8)),HEX2DEC($B$1))),IF(AND(BW56=3,BS48=1),DEC2HEX(_xlfn.BITXOR(_xlfn.BITXOR(BIN2DEC(RIGHT(HEX2BIN(BS55,8)&amp;LEFT(HEX2BIN($A$1,8),1),8)),HEX2DEC($B$1)),HEX2DEC(BS55))),BS55)))))),HEX2DEC(IF(AND(BX56=3,BS49=0),DEC2HEX(_xlfn.BITXOR(BIN2DEC((RIGHT(HEX2BIN(BS56,8)&amp;LEFT(HEX2BIN($A$1,8),1),8))),HEX2DEC(BS56)),2),IF(AND(BX56=2,BS49=0),BIN2HEX(RIGHT(HEX2BIN(BS56,8)&amp;LEFT(HEX2BIN($A$1,8),1),8)),IF(AND(BX56=2,BS49=1),DEC2HEX(_xlfn.BITXOR(BIN2DEC(RIGHT(HEX2BIN(BS56,8)&amp;LEFT(HEX2BIN($A$1,8),1),8)),HEX2DEC($B$1))),IF(AND(BX56=3,BS49=1),DEC2HEX(_xlfn.BITXOR(_xlfn.BITXOR(BIN2DEC(RIGHT(HEX2BIN(BS56,8)&amp;LEFT(HEX2BIN($A$1,8),1),8)),HEX2DEC($B$1)),HEX2DEC(BS56))),BS56)))))),HEX2DEC(IF(AND(BY56=3,BS50=0),DEC2HEX(_xlfn.BITXOR(BIN2DEC((RIGHT(HEX2BIN(BS57,8)&amp;LEFT(HEX2BIN($A$1,8),1),8))),HEX2DEC(BS57)),2),IF(AND(BY56=2,BS50=0),BIN2HEX(RIGHT(HEX2BIN(BS57,8)&amp;LEFT(HEX2BIN($A$1,8),1),8)),IF(AND(BY56=2,BS50=1),DEC2HEX(_xlfn.BITXOR(BIN2DEC(RIGHT(HEX2BIN(BS57,8)&amp;LEFT(HEX2BIN($A$1,8),1),8)),HEX2DEC($B$1))),IF(AND(BY56=3,BS50=1),DEC2HEX(_xlfn.BITXOR(_xlfn.BITXOR(BIN2DEC(RIGHT(HEX2BIN(BS57,8)&amp;LEFT(HEX2BIN($A$1,8),1),8)),HEX2DEC($B$1)),HEX2DEC(BS57))),BS57)))))))</f>
        <v>6</v>
      </c>
      <c r="CD56" s="66" t="str">
        <f>DEC2HEX(_xlfn.BITXOR(_xlfn.BITXOR(_xlfn.BITXOR(HEX2DEC(IF(AND(BV56=3,BT47=0),DEC2HEX(_xlfn.BITXOR(BIN2DEC((RIGHT(HEX2BIN(BT54,8)&amp;LEFT(HEX2BIN($A$1,8),1),8))),HEX2DEC(BT54)),2),IF(AND(BV56=2,BT47=0),BIN2HEX(RIGHT(HEX2BIN(BT54,8)&amp;LEFT(HEX2BIN($A$1,8),1),8)),IF(AND(BV56=2,BT47=1),DEC2HEX(_xlfn.BITXOR(BIN2DEC(RIGHT(HEX2BIN(BT54,8)&amp;LEFT(HEX2BIN($A$1,8),1),8)),HEX2DEC($B$1))),IF(AND(BV56=3,BT47=1),DEC2HEX(_xlfn.BITXOR(_xlfn.BITXOR(BIN2DEC(RIGHT(HEX2BIN(BT54,8)&amp;LEFT(HEX2BIN($A$1,8),1),8)),HEX2DEC($B$1)),HEX2DEC(BT54))),BT54))))),HEX2DEC(IF(AND(BW56=3,BT48=0),DEC2HEX(_xlfn.BITXOR(BIN2DEC((RIGHT(HEX2BIN(BT55,8)&amp;LEFT(HEX2BIN($A$1,8),1),8))),HEX2DEC(BT55)),2),IF(AND(BW56=2,BT48=0),BIN2HEX(RIGHT(HEX2BIN(BT55,8)&amp;LEFT(HEX2BIN($A$1,8),1),8)),IF(AND(BW56=2,BT48=1),DEC2HEX(_xlfn.BITXOR(BIN2DEC(RIGHT(HEX2BIN(BT55,8)&amp;LEFT(HEX2BIN($A$1,8),1),8)),HEX2DEC($B$1))),IF(AND(BW56=3,BT48=1),DEC2HEX(_xlfn.BITXOR(_xlfn.BITXOR(BIN2DEC(RIGHT(HEX2BIN(BT55,8)&amp;LEFT(HEX2BIN($A$1,8),1),8)),HEX2DEC($B$1)),HEX2DEC(BT55))),BT55)))))),HEX2DEC(IF(AND(BX56=3,BT49=0),DEC2HEX(_xlfn.BITXOR(BIN2DEC((RIGHT(HEX2BIN(BT56,8)&amp;LEFT(HEX2BIN($A$1,8),1),8))),HEX2DEC(BT56)),2),IF(AND(BX56=2,BT49=0),BIN2HEX(RIGHT(HEX2BIN(BT56,8)&amp;LEFT(HEX2BIN($A$1,8),1),8)),IF(AND(BX56=2,BT49=1),DEC2HEX(_xlfn.BITXOR(BIN2DEC(RIGHT(HEX2BIN(BT56,8)&amp;LEFT(HEX2BIN($A$1,8),1),8)),HEX2DEC($B$1))),IF(AND(BX56=3,BT49=1),DEC2HEX(_xlfn.BITXOR(_xlfn.BITXOR(BIN2DEC(RIGHT(HEX2BIN(BT56,8)&amp;LEFT(HEX2BIN($A$1,8),1),8)),HEX2DEC($B$1)),HEX2DEC(BT56))),BT56)))))),HEX2DEC(IF(AND(BY56=3,BT50=0),DEC2HEX(_xlfn.BITXOR(BIN2DEC((RIGHT(HEX2BIN(BT57,8)&amp;LEFT(HEX2BIN($A$1,8),1),8))),HEX2DEC(BT57)),2),IF(AND(BY56=2,BT50=0),BIN2HEX(RIGHT(HEX2BIN(BT57,8)&amp;LEFT(HEX2BIN($A$1,8),1),8)),IF(AND(BY56=2,BT50=1),DEC2HEX(_xlfn.BITXOR(BIN2DEC(RIGHT(HEX2BIN(BT57,8)&amp;LEFT(HEX2BIN($A$1,8),1),8)),HEX2DEC($B$1))),IF(AND(BY56=3,BT50=1),DEC2HEX(_xlfn.BITXOR(_xlfn.BITXOR(BIN2DEC(RIGHT(HEX2BIN(BT57,8)&amp;LEFT(HEX2BIN($A$1,8),1),8)),HEX2DEC($B$1)),HEX2DEC(BT57))),BT57)))))))</f>
        <v>7D</v>
      </c>
    </row>
    <row r="57" spans="1:82" x14ac:dyDescent="0.25">
      <c r="B57" s="11"/>
      <c r="D57" s="11"/>
      <c r="E57" s="8"/>
      <c r="F57" s="11"/>
      <c r="G57" s="11"/>
      <c r="H57" s="8"/>
      <c r="I57" s="11"/>
      <c r="J57" s="8"/>
      <c r="K57" s="8"/>
      <c r="L57" s="11"/>
      <c r="M57" s="8"/>
      <c r="N57" s="8"/>
      <c r="O57" s="11"/>
      <c r="P57" s="8"/>
      <c r="Q57" s="8"/>
      <c r="R57" s="11"/>
      <c r="T57" s="11"/>
      <c r="U57" s="8"/>
      <c r="V57" s="8"/>
      <c r="W57" s="11"/>
      <c r="X57" s="8"/>
      <c r="Y57" s="8"/>
      <c r="Z57" s="11"/>
      <c r="AA57" s="8"/>
      <c r="AB57" s="8"/>
      <c r="AC57" s="11"/>
      <c r="AD57" s="8"/>
      <c r="AE57" s="8"/>
      <c r="BQ57" s="66" t="s">
        <v>72</v>
      </c>
      <c r="BR57" s="66">
        <v>20</v>
      </c>
      <c r="BS57" s="66" t="s">
        <v>147</v>
      </c>
      <c r="BT57" s="66" t="s">
        <v>82</v>
      </c>
      <c r="BU57" s="66"/>
      <c r="BV57" s="68">
        <v>3</v>
      </c>
      <c r="BW57" s="68">
        <v>1</v>
      </c>
      <c r="BX57" s="68">
        <v>1</v>
      </c>
      <c r="BY57" s="68">
        <v>2</v>
      </c>
      <c r="BZ57" s="67"/>
      <c r="CA57" s="66" t="str">
        <f>DEC2HEX(_xlfn.BITXOR(_xlfn.BITXOR(_xlfn.BITXOR(HEX2DEC(IF(AND(BV57=3,BQ47=0),DEC2HEX(_xlfn.BITXOR(BIN2DEC((RIGHT(HEX2BIN(BQ54,8)&amp;LEFT(HEX2BIN($A$1,8),1),8))),HEX2DEC(BQ54)),2),IF(AND(BV57=2,BQ47=0),BIN2HEX(RIGHT(HEX2BIN(BQ54,8)&amp;LEFT(HEX2BIN($A$1,8),1),8)),IF(AND(BV57=2,BQ47=1),DEC2HEX(_xlfn.BITXOR(BIN2DEC(RIGHT(HEX2BIN(BQ54,8)&amp;LEFT(HEX2BIN($A$1,8),1),8)),HEX2DEC($B$1))),IF(AND(BV57=3,BQ47=1),DEC2HEX(_xlfn.BITXOR(_xlfn.BITXOR(BIN2DEC(RIGHT(HEX2BIN(BQ54,8)&amp;LEFT(HEX2BIN($A$1,8),1),8)),HEX2DEC($B$1)),HEX2DEC(BQ54))),BQ54))))),HEX2DEC(IF(AND(BW57=3,BQ48=0),DEC2HEX(_xlfn.BITXOR(BIN2DEC((RIGHT(HEX2BIN(BQ55,8)&amp;LEFT(HEX2BIN($A$1,8),1),8))),HEX2DEC(BQ55)),2),IF(AND(BW57=2,BQ48=0),BIN2HEX(RIGHT(HEX2BIN(BQ55,8)&amp;LEFT(HEX2BIN($A$1,8),1),8)),IF(AND(BW57=2,BQ48=1),DEC2HEX(_xlfn.BITXOR(BIN2DEC(RIGHT(HEX2BIN(BQ55,8)&amp;LEFT(HEX2BIN($A$1,8),1),8)),HEX2DEC($B$1))),IF(AND(BW57=3,BQ48=1),DEC2HEX(_xlfn.BITXOR(_xlfn.BITXOR(BIN2DEC(RIGHT(HEX2BIN(BQ55,8)&amp;LEFT(HEX2BIN($A$1,8),1),8)),HEX2DEC($B$1)),HEX2DEC(BQ55))),BQ55)))))),HEX2DEC(IF(AND(BX57=3,BQ49=0),DEC2HEX(_xlfn.BITXOR(BIN2DEC((RIGHT(HEX2BIN(BQ56,8)&amp;LEFT(HEX2BIN($A$1,8),1),8))),HEX2DEC(BQ56)),2),IF(AND(BX57=2,BQ49=0),BIN2HEX(RIGHT(HEX2BIN(BQ56,8)&amp;LEFT(HEX2BIN($A$1,8),1),8)),IF(AND(BX57=2,BQ49=1),DEC2HEX(_xlfn.BITXOR(BIN2DEC(RIGHT(HEX2BIN(BQ56,8)&amp;LEFT(HEX2BIN($A$1,8),1),8)),HEX2DEC($B$1))),IF(AND(BX57=3,BQ49=1),DEC2HEX(_xlfn.BITXOR(_xlfn.BITXOR(BIN2DEC(RIGHT(HEX2BIN(BQ56,8)&amp;LEFT(HEX2BIN($A$1,8),1),8)),HEX2DEC($B$1)),HEX2DEC(BQ56))),BQ56)))))),HEX2DEC(IF(AND(BY57=3,BQ50=0),DEC2HEX(_xlfn.BITXOR(BIN2DEC((RIGHT(HEX2BIN(BQ57,8)&amp;LEFT(HEX2BIN($A$1,8),1),8))),HEX2DEC(BQ57)),2),IF(AND(BY57=2,BQ50=0),BIN2HEX(RIGHT(HEX2BIN(BQ57,8)&amp;LEFT(HEX2BIN($A$1,8),1),8)),IF(AND(BY57=2,BQ50=1),DEC2HEX(_xlfn.BITXOR(BIN2DEC(RIGHT(HEX2BIN(BQ57,8)&amp;LEFT(HEX2BIN($A$1,8),1),8)),HEX2DEC($B$1))),IF(AND(BY57=3,BQ50=1),DEC2HEX(_xlfn.BITXOR(_xlfn.BITXOR(BIN2DEC(RIGHT(HEX2BIN(BQ57,8)&amp;LEFT(HEX2BIN($A$1,8),1),8)),HEX2DEC($B$1)),HEX2DEC(BQ57))),BQ57)))))))</f>
        <v>7A</v>
      </c>
      <c r="CB57" s="66" t="str">
        <f>DEC2HEX(_xlfn.BITXOR(_xlfn.BITXOR(_xlfn.BITXOR(HEX2DEC(IF(AND(BV57=3,BR47=0),DEC2HEX(_xlfn.BITXOR(BIN2DEC((RIGHT(HEX2BIN(BR54,8)&amp;LEFT(HEX2BIN($A$1,8),1),8))),HEX2DEC(BR54)),2),IF(AND(BV57=2,BR47=0),BIN2HEX(RIGHT(HEX2BIN(BR54,8)&amp;LEFT(HEX2BIN($A$1,8),1),8)),IF(AND(BV57=2,BR47=1),DEC2HEX(_xlfn.BITXOR(BIN2DEC(RIGHT(HEX2BIN(BR54,8)&amp;LEFT(HEX2BIN($A$1,8),1),8)),HEX2DEC($B$1))),IF(AND(BV57=3,BR47=1),DEC2HEX(_xlfn.BITXOR(_xlfn.BITXOR(BIN2DEC(RIGHT(HEX2BIN(BR54,8)&amp;LEFT(HEX2BIN($A$1,8),1),8)),HEX2DEC($B$1)),HEX2DEC(BR54))),BR54))))),HEX2DEC(IF(AND(BW57=3,BR48=0),DEC2HEX(_xlfn.BITXOR(BIN2DEC((RIGHT(HEX2BIN(BR55,8)&amp;LEFT(HEX2BIN($A$1,8),1),8))),HEX2DEC(BR55)),2),IF(AND(BW57=2,BR48=0),BIN2HEX(RIGHT(HEX2BIN(BR55,8)&amp;LEFT(HEX2BIN($A$1,8),1),8)),IF(AND(BW57=2,BR48=1),DEC2HEX(_xlfn.BITXOR(BIN2DEC(RIGHT(HEX2BIN(BR55,8)&amp;LEFT(HEX2BIN($A$1,8),1),8)),HEX2DEC($B$1))),IF(AND(BW57=3,BR48=1),DEC2HEX(_xlfn.BITXOR(_xlfn.BITXOR(BIN2DEC(RIGHT(HEX2BIN(BR55,8)&amp;LEFT(HEX2BIN($A$1,8),1),8)),HEX2DEC($B$1)),HEX2DEC(BR55))),BR55)))))),HEX2DEC(IF(AND(BX57=3,BR49=0),DEC2HEX(_xlfn.BITXOR(BIN2DEC((RIGHT(HEX2BIN(BR56,8)&amp;LEFT(HEX2BIN($A$1,8),1),8))),HEX2DEC(BR56)),2),IF(AND(BX57=2,BR49=0),BIN2HEX(RIGHT(HEX2BIN(BR56,8)&amp;LEFT(HEX2BIN($A$1,8),1),8)),IF(AND(BX57=2,BR49=1),DEC2HEX(_xlfn.BITXOR(BIN2DEC(RIGHT(HEX2BIN(BR56,8)&amp;LEFT(HEX2BIN($A$1,8),1),8)),HEX2DEC($B$1))),IF(AND(BX57=3,BR49=1),DEC2HEX(_xlfn.BITXOR(_xlfn.BITXOR(BIN2DEC(RIGHT(HEX2BIN(BR56,8)&amp;LEFT(HEX2BIN($A$1,8),1),8)),HEX2DEC($B$1)),HEX2DEC(BR56))),BR56)))))),HEX2DEC(IF(AND(BY57=3,BR50=0),DEC2HEX(_xlfn.BITXOR(BIN2DEC((RIGHT(HEX2BIN(BR57,8)&amp;LEFT(HEX2BIN($A$1,8),1),8))),HEX2DEC(BR57)),2),IF(AND(BY57=2,BR50=0),BIN2HEX(RIGHT(HEX2BIN(BR57,8)&amp;LEFT(HEX2BIN($A$1,8),1),8)),IF(AND(BY57=2,BR50=1),DEC2HEX(_xlfn.BITXOR(BIN2DEC(RIGHT(HEX2BIN(BR57,8)&amp;LEFT(HEX2BIN($A$1,8),1),8)),HEX2DEC($B$1))),IF(AND(BY57=3,BR50=1),DEC2HEX(_xlfn.BITXOR(_xlfn.BITXOR(BIN2DEC(RIGHT(HEX2BIN(BR57,8)&amp;LEFT(HEX2BIN($A$1,8),1),8)),HEX2DEC($B$1)),HEX2DEC(BR57))),BR57)))))))</f>
        <v>32</v>
      </c>
      <c r="CC57" s="66" t="str">
        <f>DEC2HEX(_xlfn.BITXOR(_xlfn.BITXOR(_xlfn.BITXOR(HEX2DEC(IF(AND(BV57=3,BS47=0),DEC2HEX(_xlfn.BITXOR(BIN2DEC((RIGHT(HEX2BIN(BS54,8)&amp;LEFT(HEX2BIN($A$1,8),1),8))),HEX2DEC(BS54)),2),IF(AND(BV57=2,BS47=0),BIN2HEX(RIGHT(HEX2BIN(BS54,8)&amp;LEFT(HEX2BIN($A$1,8),1),8)),IF(AND(BV57=2,BS47=1),DEC2HEX(_xlfn.BITXOR(BIN2DEC(RIGHT(HEX2BIN(BS54,8)&amp;LEFT(HEX2BIN($A$1,8),1),8)),HEX2DEC($B$1))),IF(AND(BV57=3,BS47=1),DEC2HEX(_xlfn.BITXOR(_xlfn.BITXOR(BIN2DEC(RIGHT(HEX2BIN(BS54,8)&amp;LEFT(HEX2BIN($A$1,8),1),8)),HEX2DEC($B$1)),HEX2DEC(BS54))),BS54))))),HEX2DEC(IF(AND(BW57=3,BS48=0),DEC2HEX(_xlfn.BITXOR(BIN2DEC((RIGHT(HEX2BIN(BS55,8)&amp;LEFT(HEX2BIN($A$1,8),1),8))),HEX2DEC(BS55)),2),IF(AND(BW57=2,BS48=0),BIN2HEX(RIGHT(HEX2BIN(BS55,8)&amp;LEFT(HEX2BIN($A$1,8),1),8)),IF(AND(BW57=2,BS48=1),DEC2HEX(_xlfn.BITXOR(BIN2DEC(RIGHT(HEX2BIN(BS55,8)&amp;LEFT(HEX2BIN($A$1,8),1),8)),HEX2DEC($B$1))),IF(AND(BW57=3,BS48=1),DEC2HEX(_xlfn.BITXOR(_xlfn.BITXOR(BIN2DEC(RIGHT(HEX2BIN(BS55,8)&amp;LEFT(HEX2BIN($A$1,8),1),8)),HEX2DEC($B$1)),HEX2DEC(BS55))),BS55)))))),HEX2DEC(IF(AND(BX57=3,BS49=0),DEC2HEX(_xlfn.BITXOR(BIN2DEC((RIGHT(HEX2BIN(BS56,8)&amp;LEFT(HEX2BIN($A$1,8),1),8))),HEX2DEC(BS56)),2),IF(AND(BX57=2,BS49=0),BIN2HEX(RIGHT(HEX2BIN(BS56,8)&amp;LEFT(HEX2BIN($A$1,8),1),8)),IF(AND(BX57=2,BS49=1),DEC2HEX(_xlfn.BITXOR(BIN2DEC(RIGHT(HEX2BIN(BS56,8)&amp;LEFT(HEX2BIN($A$1,8),1),8)),HEX2DEC($B$1))),IF(AND(BX57=3,BS49=1),DEC2HEX(_xlfn.BITXOR(_xlfn.BITXOR(BIN2DEC(RIGHT(HEX2BIN(BS56,8)&amp;LEFT(HEX2BIN($A$1,8),1),8)),HEX2DEC($B$1)),HEX2DEC(BS56))),BS56)))))),HEX2DEC(IF(AND(BY57=3,BS50=0),DEC2HEX(_xlfn.BITXOR(BIN2DEC((RIGHT(HEX2BIN(BS57,8)&amp;LEFT(HEX2BIN($A$1,8),1),8))),HEX2DEC(BS57)),2),IF(AND(BY57=2,BS50=0),BIN2HEX(RIGHT(HEX2BIN(BS57,8)&amp;LEFT(HEX2BIN($A$1,8),1),8)),IF(AND(BY57=2,BS50=1),DEC2HEX(_xlfn.BITXOR(BIN2DEC(RIGHT(HEX2BIN(BS57,8)&amp;LEFT(HEX2BIN($A$1,8),1),8)),HEX2DEC($B$1))),IF(AND(BY57=3,BS50=1),DEC2HEX(_xlfn.BITXOR(_xlfn.BITXOR(BIN2DEC(RIGHT(HEX2BIN(BS57,8)&amp;LEFT(HEX2BIN($A$1,8),1),8)),HEX2DEC($B$1)),HEX2DEC(BS57))),BS57)))))))</f>
        <v>E</v>
      </c>
      <c r="CD57" s="66" t="str">
        <f>DEC2HEX(_xlfn.BITXOR(_xlfn.BITXOR(_xlfn.BITXOR(HEX2DEC(IF(AND(BV57=3,BT47=0),DEC2HEX(_xlfn.BITXOR(BIN2DEC((RIGHT(HEX2BIN(BT54,8)&amp;LEFT(HEX2BIN($A$1,8),1),8))),HEX2DEC(BT54)),2),IF(AND(BV57=2,BT47=0),BIN2HEX(RIGHT(HEX2BIN(BT54,8)&amp;LEFT(HEX2BIN($A$1,8),1),8)),IF(AND(BV57=2,BT47=1),DEC2HEX(_xlfn.BITXOR(BIN2DEC(RIGHT(HEX2BIN(BT54,8)&amp;LEFT(HEX2BIN($A$1,8),1),8)),HEX2DEC($B$1))),IF(AND(BV57=3,BT47=1),DEC2HEX(_xlfn.BITXOR(_xlfn.BITXOR(BIN2DEC(RIGHT(HEX2BIN(BT54,8)&amp;LEFT(HEX2BIN($A$1,8),1),8)),HEX2DEC($B$1)),HEX2DEC(BT54))),BT54))))),HEX2DEC(IF(AND(BW57=3,BT48=0),DEC2HEX(_xlfn.BITXOR(BIN2DEC((RIGHT(HEX2BIN(BT55,8)&amp;LEFT(HEX2BIN($A$1,8),1),8))),HEX2DEC(BT55)),2),IF(AND(BW57=2,BT48=0),BIN2HEX(RIGHT(HEX2BIN(BT55,8)&amp;LEFT(HEX2BIN($A$1,8),1),8)),IF(AND(BW57=2,BT48=1),DEC2HEX(_xlfn.BITXOR(BIN2DEC(RIGHT(HEX2BIN(BT55,8)&amp;LEFT(HEX2BIN($A$1,8),1),8)),HEX2DEC($B$1))),IF(AND(BW57=3,BT48=1),DEC2HEX(_xlfn.BITXOR(_xlfn.BITXOR(BIN2DEC(RIGHT(HEX2BIN(BT55,8)&amp;LEFT(HEX2BIN($A$1,8),1),8)),HEX2DEC($B$1)),HEX2DEC(BT55))),BT55)))))),HEX2DEC(IF(AND(BX57=3,BT49=0),DEC2HEX(_xlfn.BITXOR(BIN2DEC((RIGHT(HEX2BIN(BT56,8)&amp;LEFT(HEX2BIN($A$1,8),1),8))),HEX2DEC(BT56)),2),IF(AND(BX57=2,BT49=0),BIN2HEX(RIGHT(HEX2BIN(BT56,8)&amp;LEFT(HEX2BIN($A$1,8),1),8)),IF(AND(BX57=2,BT49=1),DEC2HEX(_xlfn.BITXOR(BIN2DEC(RIGHT(HEX2BIN(BT56,8)&amp;LEFT(HEX2BIN($A$1,8),1),8)),HEX2DEC($B$1))),IF(AND(BX57=3,BT49=1),DEC2HEX(_xlfn.BITXOR(_xlfn.BITXOR(BIN2DEC(RIGHT(HEX2BIN(BT56,8)&amp;LEFT(HEX2BIN($A$1,8),1),8)),HEX2DEC($B$1)),HEX2DEC(BT56))),BT56)))))),HEX2DEC(IF(AND(BY57=3,BT50=0),DEC2HEX(_xlfn.BITXOR(BIN2DEC((RIGHT(HEX2BIN(BT57,8)&amp;LEFT(HEX2BIN($A$1,8),1),8))),HEX2DEC(BT57)),2),IF(AND(BY57=2,BT50=0),BIN2HEX(RIGHT(HEX2BIN(BT57,8)&amp;LEFT(HEX2BIN($A$1,8),1),8)),IF(AND(BY57=2,BT50=1),DEC2HEX(_xlfn.BITXOR(BIN2DEC(RIGHT(HEX2BIN(BT57,8)&amp;LEFT(HEX2BIN($A$1,8),1),8)),HEX2DEC($B$1))),IF(AND(BY57=3,BT50=1),DEC2HEX(_xlfn.BITXOR(_xlfn.BITXOR(BIN2DEC(RIGHT(HEX2BIN(BT57,8)&amp;LEFT(HEX2BIN($A$1,8),1),8)),HEX2DEC($B$1)),HEX2DEC(BT57))),BT57)))))))</f>
        <v>5D</v>
      </c>
    </row>
    <row r="58" spans="1:82" x14ac:dyDescent="0.25">
      <c r="B58" s="11"/>
      <c r="D58" s="11"/>
      <c r="E58" s="8"/>
      <c r="F58" s="11"/>
      <c r="G58" s="11"/>
      <c r="H58" s="8"/>
      <c r="I58" s="11"/>
      <c r="J58" s="8"/>
      <c r="K58" s="8"/>
      <c r="L58" s="11"/>
      <c r="M58" s="8"/>
      <c r="N58" s="8"/>
      <c r="O58" s="11"/>
      <c r="P58" s="8"/>
      <c r="Q58" s="8"/>
      <c r="R58" s="11"/>
      <c r="T58" s="11"/>
      <c r="U58" s="8"/>
      <c r="V58" s="8"/>
      <c r="W58" s="11"/>
      <c r="X58" s="8"/>
      <c r="Y58" s="8"/>
      <c r="Z58" s="11"/>
      <c r="AA58" s="8"/>
      <c r="AB58" s="8"/>
      <c r="AC58" s="11"/>
      <c r="AD58" s="8"/>
      <c r="AE58" s="8"/>
    </row>
    <row r="59" spans="1:82" x14ac:dyDescent="0.25">
      <c r="B59" s="11"/>
      <c r="D59" s="11"/>
      <c r="E59" s="8"/>
      <c r="F59" s="11"/>
      <c r="G59" s="11"/>
      <c r="H59" s="8"/>
      <c r="I59" s="11"/>
      <c r="J59" s="8"/>
      <c r="K59" s="8"/>
      <c r="L59" s="11"/>
      <c r="M59" s="8"/>
      <c r="N59" s="8"/>
      <c r="O59" s="11"/>
      <c r="P59" s="8"/>
      <c r="Q59" s="8"/>
      <c r="R59" s="11"/>
      <c r="T59" s="11"/>
      <c r="U59" s="8"/>
      <c r="V59" s="8"/>
      <c r="W59" s="11"/>
      <c r="X59" s="8"/>
      <c r="Y59" s="8"/>
      <c r="Z59" s="11"/>
      <c r="AA59" s="8"/>
      <c r="AB59" s="8"/>
      <c r="AC59" s="11"/>
      <c r="AD59" s="8"/>
      <c r="AE59" s="8"/>
    </row>
    <row r="60" spans="1:82" x14ac:dyDescent="0.25">
      <c r="B60" s="11"/>
      <c r="D60" s="11"/>
      <c r="E60" s="8"/>
      <c r="F60" s="11"/>
      <c r="G60" s="11"/>
      <c r="H60" s="8"/>
      <c r="I60" s="11"/>
      <c r="J60" s="8"/>
      <c r="K60" s="8"/>
      <c r="L60" s="11"/>
      <c r="M60" s="8"/>
      <c r="N60" s="8"/>
      <c r="O60" s="11"/>
      <c r="P60" s="8"/>
      <c r="Q60" s="8"/>
      <c r="R60" s="11"/>
      <c r="T60" s="11"/>
      <c r="U60" s="8"/>
      <c r="V60" s="8"/>
      <c r="W60" s="11"/>
      <c r="X60" s="8"/>
      <c r="Y60" s="8"/>
      <c r="Z60" s="11"/>
      <c r="AA60" s="8"/>
      <c r="AB60" s="8"/>
      <c r="AC60" s="11"/>
      <c r="AD60" s="8"/>
      <c r="AE60" s="8"/>
    </row>
    <row r="61" spans="1:82" x14ac:dyDescent="0.25">
      <c r="A61" s="11"/>
      <c r="B61" s="11"/>
      <c r="D61" s="11"/>
      <c r="E61" s="8"/>
      <c r="F61" s="11"/>
      <c r="G61" s="11"/>
      <c r="H61" s="8"/>
      <c r="I61" s="11"/>
      <c r="J61" s="8"/>
      <c r="K61" s="8"/>
      <c r="L61" s="11"/>
      <c r="M61" s="8"/>
      <c r="N61" s="8"/>
      <c r="O61" s="11"/>
      <c r="P61" s="8"/>
      <c r="Q61" s="8"/>
      <c r="R61" s="11"/>
      <c r="T61" s="11"/>
      <c r="U61" s="8"/>
      <c r="V61" s="8"/>
      <c r="W61" s="11"/>
      <c r="X61" s="8"/>
      <c r="Y61" s="8"/>
      <c r="Z61" s="11"/>
      <c r="AA61" s="8"/>
      <c r="AB61" s="8"/>
      <c r="AC61" s="11"/>
      <c r="AD61" s="8"/>
      <c r="AE61" s="8"/>
    </row>
    <row r="62" spans="1:82" x14ac:dyDescent="0.25">
      <c r="A62" s="11"/>
      <c r="B62" s="11"/>
      <c r="D62" s="11"/>
      <c r="E62" s="8"/>
      <c r="F62" s="11"/>
      <c r="G62" s="11"/>
      <c r="H62" s="8"/>
      <c r="I62" s="11"/>
      <c r="J62" s="8"/>
      <c r="K62" s="8"/>
      <c r="L62" s="11"/>
      <c r="M62" s="8"/>
      <c r="N62" s="8"/>
      <c r="O62" s="11"/>
      <c r="P62" s="8"/>
      <c r="Q62" s="8"/>
      <c r="R62" s="11"/>
      <c r="T62" s="11"/>
      <c r="U62" s="8"/>
      <c r="V62" s="8"/>
      <c r="W62" s="11"/>
      <c r="X62" s="8"/>
      <c r="Y62" s="8"/>
      <c r="Z62" s="11"/>
      <c r="AA62" s="8"/>
      <c r="AB62" s="8"/>
      <c r="AC62" s="11"/>
      <c r="AD62" s="8"/>
      <c r="AE62" s="8"/>
    </row>
    <row r="63" spans="1:82" x14ac:dyDescent="0.25">
      <c r="B63" s="11"/>
      <c r="D63" s="11"/>
      <c r="E63" s="8"/>
      <c r="F63" s="11"/>
      <c r="G63" s="11"/>
      <c r="H63" s="8"/>
      <c r="I63" s="11"/>
      <c r="J63" s="8"/>
      <c r="K63" s="8"/>
      <c r="L63" s="11"/>
      <c r="M63" s="8"/>
      <c r="N63" s="8"/>
      <c r="O63" s="11"/>
      <c r="P63" s="8"/>
      <c r="Q63" s="8"/>
      <c r="R63" s="11"/>
      <c r="T63" s="11"/>
      <c r="U63" s="8"/>
      <c r="V63" s="8"/>
      <c r="W63" s="11"/>
      <c r="X63" s="8"/>
      <c r="Y63" s="8"/>
      <c r="Z63" s="11"/>
      <c r="AA63" s="8"/>
      <c r="AB63" s="8"/>
      <c r="AC63" s="11"/>
      <c r="AD63" s="8"/>
      <c r="AE63" s="8"/>
    </row>
    <row r="64" spans="1:82" x14ac:dyDescent="0.25">
      <c r="B64" s="11"/>
      <c r="D64" s="11"/>
      <c r="E64" s="8"/>
      <c r="F64" s="11"/>
      <c r="G64" s="11"/>
      <c r="H64" s="8"/>
      <c r="I64" s="11"/>
      <c r="J64" s="8"/>
      <c r="K64" s="8"/>
      <c r="L64" s="11"/>
      <c r="M64" s="8"/>
      <c r="N64" s="8"/>
      <c r="O64" s="11"/>
      <c r="P64" s="8"/>
      <c r="Q64" s="8"/>
      <c r="R64" s="11"/>
      <c r="T64" s="11"/>
      <c r="U64" s="8"/>
      <c r="V64" s="8"/>
      <c r="W64" s="11"/>
      <c r="X64" s="8"/>
      <c r="Y64" s="8"/>
      <c r="Z64" s="11"/>
      <c r="AA64" s="8"/>
      <c r="AB64" s="8"/>
      <c r="AC64" s="11"/>
      <c r="AD64" s="8"/>
      <c r="AE64" s="8"/>
    </row>
    <row r="65" spans="1:67" x14ac:dyDescent="0.25">
      <c r="B65" s="11"/>
      <c r="D65" s="11"/>
      <c r="E65" s="8"/>
      <c r="F65" s="11"/>
      <c r="G65" s="11"/>
      <c r="H65" s="8"/>
      <c r="I65" s="11"/>
      <c r="J65" s="8"/>
      <c r="K65" s="8"/>
      <c r="L65" s="11"/>
      <c r="M65" s="8"/>
      <c r="N65" s="8"/>
      <c r="O65" s="11"/>
      <c r="P65" s="8"/>
      <c r="Q65" s="8"/>
      <c r="R65" s="11"/>
      <c r="T65" s="11"/>
      <c r="U65" s="8"/>
      <c r="V65" s="8"/>
      <c r="W65" s="11"/>
      <c r="X65" s="8"/>
      <c r="Y65" s="8"/>
      <c r="Z65" s="11"/>
      <c r="AA65" s="8"/>
      <c r="AB65" s="8"/>
      <c r="AC65" s="11"/>
      <c r="AD65" s="8"/>
      <c r="AE65" s="8"/>
    </row>
    <row r="66" spans="1:67" x14ac:dyDescent="0.25">
      <c r="B66" s="11"/>
      <c r="D66" s="11"/>
      <c r="E66" s="8"/>
      <c r="F66" s="11"/>
      <c r="G66" s="11"/>
      <c r="H66" s="8"/>
      <c r="I66" s="11"/>
      <c r="J66" s="8"/>
      <c r="K66" s="8"/>
      <c r="L66" s="11"/>
      <c r="M66" s="8"/>
      <c r="N66" s="8"/>
      <c r="O66" s="11"/>
      <c r="P66" s="8"/>
      <c r="Q66" s="8"/>
      <c r="R66" s="11"/>
      <c r="T66" s="11"/>
      <c r="U66" s="8"/>
      <c r="V66" s="8"/>
      <c r="W66" s="11"/>
      <c r="X66" s="8"/>
      <c r="Y66" s="8"/>
      <c r="Z66" s="11"/>
      <c r="AA66" s="8"/>
      <c r="AB66" s="8"/>
      <c r="AC66" s="11"/>
      <c r="AD66" s="8"/>
      <c r="AE66" s="8"/>
    </row>
    <row r="67" spans="1:67" x14ac:dyDescent="0.25">
      <c r="A67" s="11"/>
      <c r="B67" s="11"/>
      <c r="D67" s="11"/>
      <c r="E67" s="8"/>
      <c r="F67" s="11"/>
      <c r="G67" s="11"/>
      <c r="H67" s="8"/>
      <c r="I67" s="11"/>
      <c r="J67" s="8"/>
      <c r="K67" s="8"/>
      <c r="L67" s="11"/>
      <c r="M67" s="8"/>
      <c r="N67" s="8"/>
      <c r="O67" s="11"/>
      <c r="P67" s="8"/>
      <c r="Q67" s="8"/>
      <c r="R67" s="11"/>
      <c r="T67" s="11"/>
      <c r="U67" s="8"/>
      <c r="V67" s="8"/>
      <c r="W67" s="11"/>
      <c r="X67" s="8"/>
      <c r="Y67" s="8"/>
      <c r="Z67" s="11"/>
      <c r="AA67" s="8"/>
      <c r="AB67" s="8"/>
      <c r="AC67" s="11"/>
      <c r="AD67" s="8"/>
      <c r="AE67" s="8"/>
    </row>
    <row r="68" spans="1:67" x14ac:dyDescent="0.25">
      <c r="A68" s="11"/>
      <c r="B68" s="11"/>
      <c r="D68" s="11"/>
      <c r="E68" s="8"/>
      <c r="F68" s="11"/>
      <c r="G68" s="11"/>
      <c r="H68" s="8"/>
      <c r="I68" s="11"/>
      <c r="J68" s="8"/>
      <c r="K68" s="8"/>
      <c r="L68" s="11"/>
      <c r="M68" s="8"/>
      <c r="N68" s="8"/>
      <c r="O68" s="11"/>
      <c r="P68" s="8"/>
      <c r="Q68" s="8"/>
      <c r="R68" s="11"/>
      <c r="T68" s="11"/>
      <c r="U68" s="8"/>
      <c r="V68" s="8"/>
      <c r="W68" s="11"/>
      <c r="X68" s="8"/>
      <c r="Y68" s="8"/>
      <c r="Z68" s="11"/>
      <c r="AA68" s="8"/>
      <c r="AB68" s="8"/>
      <c r="AC68" s="11"/>
      <c r="AD68" s="8"/>
      <c r="AE68" s="8"/>
      <c r="BB68" s="10"/>
      <c r="BC68" s="10"/>
      <c r="BD68" s="10"/>
      <c r="BE68" s="10"/>
    </row>
    <row r="69" spans="1:67" x14ac:dyDescent="0.25">
      <c r="B69" s="11"/>
      <c r="D69" s="11"/>
      <c r="E69" s="8"/>
      <c r="F69" s="11"/>
      <c r="G69" s="11"/>
      <c r="H69" s="8"/>
      <c r="I69" s="11"/>
      <c r="J69" s="8"/>
      <c r="K69" s="8"/>
      <c r="L69" s="11"/>
      <c r="M69" s="8"/>
      <c r="N69" s="8"/>
      <c r="O69" s="11"/>
      <c r="P69" s="8"/>
      <c r="Q69" s="8"/>
      <c r="R69" s="11"/>
      <c r="T69" s="11"/>
      <c r="U69" s="8"/>
      <c r="V69" s="8"/>
      <c r="W69" s="11"/>
      <c r="X69" s="8"/>
      <c r="Y69" s="8"/>
      <c r="Z69" s="11"/>
      <c r="AA69" s="8"/>
      <c r="AB69" s="8"/>
      <c r="AC69" s="11"/>
      <c r="AD69" s="8"/>
      <c r="AE69" s="8"/>
      <c r="BB69" s="10"/>
      <c r="BC69" s="10"/>
      <c r="BD69" s="10"/>
      <c r="BE69" s="10"/>
    </row>
    <row r="70" spans="1:67" x14ac:dyDescent="0.25">
      <c r="B70" s="11"/>
      <c r="D70" s="11"/>
      <c r="E70" s="8"/>
      <c r="F70" s="11"/>
      <c r="G70" s="11"/>
      <c r="H70" s="8"/>
      <c r="I70" s="11"/>
      <c r="J70" s="8"/>
      <c r="K70" s="8"/>
      <c r="L70" s="11"/>
      <c r="M70" s="8"/>
      <c r="N70" s="8"/>
      <c r="O70" s="11"/>
      <c r="P70" s="8"/>
      <c r="Q70" s="8"/>
      <c r="R70" s="11"/>
      <c r="T70" s="11"/>
      <c r="U70" s="8"/>
      <c r="V70" s="8"/>
      <c r="W70" s="11"/>
      <c r="X70" s="8"/>
      <c r="Y70" s="8"/>
      <c r="Z70" s="11"/>
      <c r="AA70" s="8"/>
      <c r="AB70" s="8"/>
      <c r="AC70" s="11"/>
      <c r="AD70" s="8"/>
      <c r="AE70" s="8"/>
      <c r="BB70" s="10"/>
      <c r="BC70" s="10"/>
      <c r="BD70" s="10"/>
      <c r="BE70" s="10"/>
      <c r="BJ70" t="s">
        <v>179</v>
      </c>
      <c r="BK70"/>
      <c r="BL70" t="s">
        <v>181</v>
      </c>
      <c r="BM70" t="s">
        <v>182</v>
      </c>
      <c r="BN70" t="s">
        <v>180</v>
      </c>
    </row>
    <row r="71" spans="1:67" x14ac:dyDescent="0.25">
      <c r="B71" s="11"/>
      <c r="D71" s="11"/>
      <c r="E71" s="8"/>
      <c r="F71" s="11"/>
      <c r="G71" s="11"/>
      <c r="H71" s="8"/>
      <c r="I71" s="11"/>
      <c r="J71" s="8"/>
      <c r="K71" s="8"/>
      <c r="L71" s="11"/>
      <c r="M71" s="8"/>
      <c r="N71" s="8"/>
      <c r="O71" s="11"/>
      <c r="P71" s="8"/>
      <c r="Q71" s="8"/>
      <c r="R71" s="11"/>
      <c r="T71" s="11"/>
      <c r="U71" s="8"/>
      <c r="V71" s="8"/>
      <c r="W71" s="11"/>
      <c r="X71" s="8"/>
      <c r="Y71" s="8"/>
      <c r="Z71" s="11"/>
      <c r="AA71" s="8"/>
      <c r="AB71" s="8"/>
      <c r="AC71" s="11"/>
      <c r="AD71" s="8"/>
      <c r="AE71" s="8"/>
      <c r="BB71" s="10"/>
      <c r="BC71" s="10"/>
      <c r="BD71" s="10"/>
      <c r="BE71" s="10"/>
      <c r="BF71" s="10"/>
      <c r="BG71" s="10"/>
      <c r="BH71" s="10"/>
      <c r="BI71" s="10"/>
      <c r="BJ71" s="41" t="str">
        <f>BIN2HEX(RIGHT(HEX2BIN(BA106,8)&amp;LEFT(HEX2BIN($A$1,8),1),8))</f>
        <v>0</v>
      </c>
      <c r="BK71" s="41"/>
      <c r="BL71" t="str">
        <f>DEC2HEX(_xlfn.BITXOR(BIN2DEC(RIGHT(HEX2BIN(BC82,8)&amp;LEFT(HEX2BIN($A$1,8),1),8)),HEX2DEC($B$1)))</f>
        <v>B5</v>
      </c>
      <c r="BM71" t="str">
        <f>DEC2HEX(_xlfn.BITXOR(_xlfn.BITXOR(BIN2DEC(RIGHT(HEX2BIN(BC83,8)&amp;LEFT(HEX2BIN($A$1,8),1),8)),HEX2DEC($B$1)),HEX2DEC(BC83)))</f>
        <v>82</v>
      </c>
      <c r="BN71" t="str">
        <f>DEC2HEX(_xlfn.BITXOR(BIN2DEC((RIGHT(HEX2BIN(BA107,8)&amp;LEFT(HEX2BIN($A$1,8),1),8))),HEX2DEC(BA107)),2)</f>
        <v>00</v>
      </c>
    </row>
    <row r="72" spans="1:67" x14ac:dyDescent="0.25">
      <c r="B72" s="11"/>
      <c r="D72" s="11"/>
      <c r="E72" s="8"/>
      <c r="F72" s="11"/>
      <c r="G72" s="11"/>
      <c r="H72" s="8"/>
      <c r="I72" s="11"/>
      <c r="J72" s="8"/>
      <c r="K72" s="8"/>
      <c r="L72" s="11"/>
      <c r="M72" s="8"/>
      <c r="N72" s="8"/>
      <c r="O72" s="11"/>
      <c r="P72" s="8"/>
      <c r="Q72" s="8"/>
      <c r="R72" s="11"/>
      <c r="T72" s="11"/>
      <c r="U72" s="8"/>
      <c r="V72" s="8"/>
      <c r="W72" s="11"/>
      <c r="X72" s="8"/>
      <c r="Y72" s="8"/>
      <c r="Z72" s="11"/>
      <c r="AA72" s="8"/>
      <c r="AB72" s="8"/>
      <c r="AC72" s="11"/>
      <c r="AD72" s="8"/>
      <c r="AE72" s="8"/>
      <c r="BB72" s="10"/>
      <c r="BC72" s="10"/>
      <c r="BD72" s="10"/>
      <c r="BE72" s="10"/>
      <c r="BF72" s="10"/>
      <c r="BG72" s="10"/>
      <c r="BH72" s="10"/>
      <c r="BI72" s="10"/>
      <c r="BJ72" s="10"/>
      <c r="BK72" s="10"/>
    </row>
    <row r="73" spans="1:67" x14ac:dyDescent="0.25">
      <c r="A73" s="11"/>
      <c r="B73" s="11"/>
      <c r="D73" s="11"/>
      <c r="E73" s="8"/>
      <c r="F73" s="11"/>
      <c r="G73" s="11"/>
      <c r="H73" s="8"/>
      <c r="I73" s="11"/>
      <c r="J73" s="8"/>
      <c r="K73" s="8"/>
      <c r="L73" s="11"/>
      <c r="M73" s="8"/>
      <c r="N73" s="8"/>
      <c r="O73" s="11"/>
      <c r="P73" s="8"/>
      <c r="Q73" s="8"/>
      <c r="R73" s="11"/>
      <c r="T73" s="11"/>
      <c r="U73" s="8"/>
      <c r="V73" s="8"/>
      <c r="W73" s="11"/>
      <c r="X73" s="8"/>
      <c r="Y73" s="8"/>
      <c r="Z73" s="11"/>
      <c r="AA73" s="8"/>
      <c r="AB73" s="8"/>
      <c r="AC73" s="11"/>
      <c r="AD73" s="8"/>
      <c r="AE73" s="8"/>
      <c r="BB73" s="10"/>
      <c r="BC73" s="10"/>
      <c r="BD73" s="10"/>
      <c r="BE73" s="10"/>
      <c r="BF73" s="10"/>
      <c r="BG73" s="10"/>
      <c r="BH73" s="10"/>
      <c r="BI73" s="10"/>
      <c r="BJ73" s="10"/>
      <c r="BK73" s="10"/>
    </row>
    <row r="74" spans="1:67" x14ac:dyDescent="0.25">
      <c r="A74" s="11"/>
      <c r="B74" s="11"/>
      <c r="D74" s="11"/>
      <c r="E74" s="8"/>
      <c r="F74" s="11"/>
      <c r="G74" s="11"/>
      <c r="H74" s="8"/>
      <c r="I74" s="11"/>
      <c r="J74" s="8"/>
      <c r="K74" s="8"/>
      <c r="L74" s="11"/>
      <c r="M74" s="8"/>
      <c r="N74" s="8"/>
      <c r="O74" s="11"/>
      <c r="P74" s="8"/>
      <c r="Q74" s="8"/>
      <c r="R74" s="11"/>
      <c r="T74" s="11"/>
      <c r="U74" s="8"/>
      <c r="V74" s="8"/>
      <c r="W74" s="11"/>
      <c r="X74" s="8"/>
      <c r="Y74" s="8"/>
      <c r="Z74" s="11"/>
      <c r="AA74" s="8"/>
      <c r="AB74" s="8"/>
      <c r="AC74" s="11"/>
      <c r="AD74" s="8"/>
      <c r="AE74" s="8"/>
      <c r="BB74" s="75">
        <f>IF(BIN2DEC(LEFT(HEX2BIN(BB81,8),1))=0,0,1)</f>
        <v>0</v>
      </c>
      <c r="BC74" s="75">
        <f>IF(BIN2DEC(LEFT(HEX2BIN(BC81,8),1))=0,0,1)</f>
        <v>0</v>
      </c>
      <c r="BD74" s="75">
        <f>IF(BIN2DEC(LEFT(HEX2BIN(BD81,8),1))=0,0,1)</f>
        <v>1</v>
      </c>
      <c r="BE74" s="75">
        <f>IF(BIN2DEC(LEFT(HEX2BIN(BE81,8),1))=0,0,1)</f>
        <v>1</v>
      </c>
      <c r="BF74" s="45"/>
      <c r="BG74" s="45"/>
      <c r="BH74" s="45"/>
      <c r="BI74" s="45"/>
      <c r="BJ74" s="45"/>
      <c r="BK74" s="10"/>
      <c r="BL74" s="27" t="s">
        <v>215</v>
      </c>
    </row>
    <row r="75" spans="1:67" x14ac:dyDescent="0.25">
      <c r="B75" s="11"/>
      <c r="D75" s="11"/>
      <c r="E75" s="8"/>
      <c r="F75" s="11"/>
      <c r="G75" s="11"/>
      <c r="H75" s="8"/>
      <c r="I75" s="11"/>
      <c r="J75" s="8"/>
      <c r="K75" s="8"/>
      <c r="L75" s="11"/>
      <c r="M75" s="8"/>
      <c r="N75" s="8"/>
      <c r="O75" s="11"/>
      <c r="P75" s="8"/>
      <c r="Q75" s="8"/>
      <c r="R75" s="11"/>
      <c r="T75" s="11"/>
      <c r="U75" s="8"/>
      <c r="V75" s="8"/>
      <c r="W75" s="11"/>
      <c r="X75" s="8"/>
      <c r="Y75" s="8"/>
      <c r="Z75" s="11"/>
      <c r="AA75" s="8"/>
      <c r="AB75" s="8"/>
      <c r="AC75" s="11"/>
      <c r="AD75" s="8"/>
      <c r="AE75" s="8"/>
      <c r="BB75" s="75">
        <f t="shared" ref="BB75:BE75" si="83">IF(BIN2DEC(LEFT(HEX2BIN(BB82,8),1))=0,0,1)</f>
        <v>0</v>
      </c>
      <c r="BC75" s="75">
        <f t="shared" si="83"/>
        <v>0</v>
      </c>
      <c r="BD75" s="75">
        <f t="shared" si="83"/>
        <v>1</v>
      </c>
      <c r="BE75" s="75">
        <f t="shared" si="83"/>
        <v>1</v>
      </c>
      <c r="BF75" s="45"/>
      <c r="BG75" s="45"/>
      <c r="BH75" s="45"/>
      <c r="BI75" s="45"/>
      <c r="BJ75" s="45"/>
      <c r="BK75" s="10"/>
      <c r="BL75" s="27" t="str">
        <f>DEC2HEX(_xlfn.BITXOR(_xlfn.BITXOR(_xlfn.BITXOR(HEX2DEC(BK78),HEX2DEC(BL78)),HEX2DEC(BM78)),HEX2DEC(BN78)))</f>
        <v>84</v>
      </c>
    </row>
    <row r="76" spans="1:67" x14ac:dyDescent="0.25">
      <c r="B76" s="11"/>
      <c r="D76" s="11"/>
      <c r="E76" s="8"/>
      <c r="F76" s="11"/>
      <c r="G76" s="11"/>
      <c r="H76" s="8"/>
      <c r="I76" s="11"/>
      <c r="J76" s="8"/>
      <c r="K76" s="8"/>
      <c r="L76" s="11"/>
      <c r="M76" s="8"/>
      <c r="N76" s="8"/>
      <c r="O76" s="11"/>
      <c r="P76" s="8"/>
      <c r="Q76" s="8"/>
      <c r="R76" s="11"/>
      <c r="T76" s="11"/>
      <c r="U76" s="8"/>
      <c r="V76" s="8"/>
      <c r="W76" s="11"/>
      <c r="X76" s="8"/>
      <c r="Y76" s="8"/>
      <c r="Z76" s="11"/>
      <c r="AA76" s="8"/>
      <c r="AB76" s="8"/>
      <c r="AC76" s="11"/>
      <c r="AD76" s="8"/>
      <c r="AE76" s="8"/>
      <c r="BB76" s="75">
        <f t="shared" ref="BB76:BE76" si="84">IF(BIN2DEC(LEFT(HEX2BIN(BB83,8),1))=0,0,1)</f>
        <v>0</v>
      </c>
      <c r="BC76" s="75">
        <f t="shared" si="84"/>
        <v>0</v>
      </c>
      <c r="BD76" s="75">
        <f t="shared" si="84"/>
        <v>1</v>
      </c>
      <c r="BE76" s="75">
        <f t="shared" si="84"/>
        <v>1</v>
      </c>
      <c r="BF76" s="45"/>
      <c r="BG76" s="45"/>
      <c r="BH76" s="45"/>
      <c r="BI76" s="45"/>
      <c r="BJ76" s="45"/>
      <c r="BK76" s="10"/>
    </row>
    <row r="77" spans="1:67" x14ac:dyDescent="0.25">
      <c r="B77" s="11"/>
      <c r="D77" s="11"/>
      <c r="E77" s="8"/>
      <c r="F77" s="11"/>
      <c r="G77" s="11"/>
      <c r="H77" s="8"/>
      <c r="I77" s="11"/>
      <c r="J77" s="8"/>
      <c r="K77" s="8"/>
      <c r="L77" s="11"/>
      <c r="M77" s="8"/>
      <c r="N77" s="8"/>
      <c r="O77" s="11"/>
      <c r="P77" s="8"/>
      <c r="Q77" s="8"/>
      <c r="R77" s="11"/>
      <c r="T77" s="11"/>
      <c r="U77" s="8"/>
      <c r="V77" s="8"/>
      <c r="W77" s="11"/>
      <c r="X77" s="8"/>
      <c r="Y77" s="8"/>
      <c r="Z77" s="11"/>
      <c r="AA77" s="8"/>
      <c r="AB77" s="8"/>
      <c r="AC77" s="11"/>
      <c r="AD77" s="8"/>
      <c r="AE77" s="8"/>
      <c r="BB77" s="75">
        <f t="shared" ref="BB77:BE77" si="85">IF(BIN2DEC(LEFT(HEX2BIN(BB84,8),1))=0,0,1)</f>
        <v>0</v>
      </c>
      <c r="BC77" s="75">
        <f t="shared" si="85"/>
        <v>0</v>
      </c>
      <c r="BD77" s="75">
        <f t="shared" si="85"/>
        <v>0</v>
      </c>
      <c r="BE77" s="75">
        <f t="shared" si="85"/>
        <v>1</v>
      </c>
      <c r="BF77" s="45"/>
      <c r="BG77" s="45"/>
      <c r="BH77" s="45"/>
      <c r="BI77" s="45"/>
      <c r="BJ77" s="45"/>
      <c r="BK77" s="10"/>
    </row>
    <row r="78" spans="1:67" ht="15.75" x14ac:dyDescent="0.25">
      <c r="B78" s="11"/>
      <c r="D78" s="11"/>
      <c r="E78" s="8"/>
      <c r="F78" s="11"/>
      <c r="G78" s="11"/>
      <c r="H78" s="8"/>
      <c r="I78" s="11"/>
      <c r="J78" s="8"/>
      <c r="K78" s="8"/>
      <c r="L78" s="11"/>
      <c r="M78" s="8"/>
      <c r="N78" s="8"/>
      <c r="O78" s="11"/>
      <c r="P78" s="8"/>
      <c r="Q78" s="8"/>
      <c r="R78" s="11"/>
      <c r="T78" s="11"/>
      <c r="U78" s="8"/>
      <c r="V78" s="8"/>
      <c r="W78" s="11"/>
      <c r="X78" s="8"/>
      <c r="Y78" s="8"/>
      <c r="Z78" s="11"/>
      <c r="AA78" s="8"/>
      <c r="AB78" s="8"/>
      <c r="AC78" s="11"/>
      <c r="AD78" s="8"/>
      <c r="AE78" s="8"/>
      <c r="AH78" s="76" t="s">
        <v>274</v>
      </c>
      <c r="AW78" s="116" t="s">
        <v>223</v>
      </c>
      <c r="AX78" s="116"/>
      <c r="AY78" s="116"/>
      <c r="AZ78" s="116"/>
      <c r="BB78" s="45"/>
      <c r="BC78" s="45"/>
      <c r="BD78" s="45"/>
      <c r="BE78" s="45"/>
      <c r="BF78" s="45"/>
      <c r="BG78" s="45"/>
      <c r="BH78" s="45"/>
      <c r="BI78" s="45"/>
      <c r="BJ78" s="45"/>
      <c r="BK78" t="str">
        <f>BC81</f>
        <v>0D</v>
      </c>
      <c r="BL78">
        <f>BC82</f>
        <v>57</v>
      </c>
      <c r="BM78" t="str">
        <f>DEC2HEX(_xlfn.BITXOR(BIN2DEC(RIGHT(HEX2BIN(BC83,8)&amp;LEFT(HEX2BIN($A$1,8),1),8)),HEX2DEC($B$1)))</f>
        <v>F5</v>
      </c>
      <c r="BN78" t="str">
        <f>DEC2HEX(_xlfn.BITXOR(BIN2DEC((RIGHT(HEX2BIN(BC84,8)&amp;LEFT(HEX2BIN($A$1,8),1),8))),HEX2DEC(BC84)),2)</f>
        <v>2B</v>
      </c>
    </row>
    <row r="79" spans="1:67" x14ac:dyDescent="0.25">
      <c r="A79" s="11"/>
      <c r="B79" s="11"/>
      <c r="D79" s="11"/>
      <c r="E79" s="8"/>
      <c r="F79" s="11"/>
      <c r="G79" s="11"/>
      <c r="H79" s="8"/>
      <c r="I79" s="11"/>
      <c r="J79" s="8"/>
      <c r="K79" s="8"/>
      <c r="L79" s="11"/>
      <c r="M79" s="8"/>
      <c r="N79" s="8"/>
      <c r="O79" s="11"/>
      <c r="P79" s="8"/>
      <c r="Q79" s="8"/>
      <c r="R79" s="11"/>
      <c r="T79" s="11"/>
      <c r="U79" s="8"/>
      <c r="V79" s="8"/>
      <c r="W79" s="11"/>
      <c r="X79" s="8"/>
      <c r="Y79" s="8"/>
      <c r="Z79" s="11"/>
      <c r="AA79" s="8"/>
      <c r="AB79" s="8"/>
      <c r="AC79" s="11"/>
      <c r="AD79" s="8"/>
      <c r="AE79" s="8"/>
      <c r="AW79" s="27"/>
      <c r="AX79" s="27"/>
      <c r="AY79" s="27"/>
      <c r="AZ79" s="27"/>
      <c r="BB79" s="45"/>
      <c r="BC79" s="45"/>
      <c r="BD79" s="45"/>
      <c r="BE79" s="45"/>
      <c r="BF79" s="45"/>
      <c r="BG79" s="45"/>
      <c r="BH79" s="45"/>
      <c r="BI79" s="45"/>
      <c r="BJ79" s="45"/>
      <c r="BK79" s="10"/>
    </row>
    <row r="80" spans="1:67" x14ac:dyDescent="0.25">
      <c r="A80" s="11"/>
      <c r="B80" s="11"/>
      <c r="D80" s="11"/>
      <c r="E80" s="8"/>
      <c r="F80" s="11"/>
      <c r="G80" s="11"/>
      <c r="H80" s="8"/>
      <c r="I80" s="11"/>
      <c r="J80" s="8"/>
      <c r="K80" s="8"/>
      <c r="L80" s="11"/>
      <c r="M80" s="8"/>
      <c r="N80" s="8"/>
      <c r="O80" s="11"/>
      <c r="P80" s="8"/>
      <c r="Q80" s="8"/>
      <c r="R80" s="11"/>
      <c r="T80" s="11"/>
      <c r="U80" s="8"/>
      <c r="V80" s="8"/>
      <c r="W80" s="11"/>
      <c r="X80" s="8"/>
      <c r="Y80" s="8"/>
      <c r="Z80" s="11"/>
      <c r="AA80" s="8"/>
      <c r="AB80" s="8"/>
      <c r="AC80" s="11"/>
      <c r="AD80" s="8"/>
      <c r="AE80" s="8"/>
      <c r="AH80" s="116" t="s">
        <v>246</v>
      </c>
      <c r="AI80" s="116"/>
      <c r="AJ80" s="116"/>
      <c r="AK80" s="116"/>
      <c r="AR80" s="116" t="s">
        <v>216</v>
      </c>
      <c r="AS80" s="116"/>
      <c r="AT80" s="116"/>
      <c r="AU80" s="116"/>
      <c r="AW80" s="116" t="s">
        <v>217</v>
      </c>
      <c r="AX80" s="116"/>
      <c r="AY80" s="116"/>
      <c r="AZ80" s="116"/>
      <c r="BB80" s="118" t="s">
        <v>212</v>
      </c>
      <c r="BC80" s="118"/>
      <c r="BD80" s="118"/>
      <c r="BE80" s="118"/>
      <c r="BF80" s="45"/>
      <c r="BG80" s="45"/>
      <c r="BH80" s="45"/>
      <c r="BI80" s="45"/>
      <c r="BJ80" s="45"/>
      <c r="BK80" s="10"/>
      <c r="BL80" s="116" t="s">
        <v>219</v>
      </c>
      <c r="BM80" s="116"/>
      <c r="BN80" s="116"/>
      <c r="BO80" s="116"/>
    </row>
    <row r="81" spans="1:74" x14ac:dyDescent="0.25">
      <c r="B81" s="11"/>
      <c r="D81" s="11"/>
      <c r="E81" s="8"/>
      <c r="F81" s="11"/>
      <c r="G81" s="11"/>
      <c r="H81" s="8"/>
      <c r="I81" s="11"/>
      <c r="J81" s="8"/>
      <c r="K81" s="8"/>
      <c r="L81" s="11"/>
      <c r="M81" s="8"/>
      <c r="N81" s="8"/>
      <c r="O81" s="11"/>
      <c r="P81" s="8"/>
      <c r="Q81" s="8"/>
      <c r="R81" s="11"/>
      <c r="T81" s="11"/>
      <c r="U81" s="8"/>
      <c r="V81" s="8"/>
      <c r="W81" s="11"/>
      <c r="X81" s="8"/>
      <c r="Y81" s="8"/>
      <c r="Z81" s="11"/>
      <c r="AA81" s="8"/>
      <c r="AB81" s="8"/>
      <c r="AC81" s="11"/>
      <c r="AD81" s="8"/>
      <c r="AE81" s="8"/>
      <c r="AH81" s="14" t="str">
        <f>H3</f>
        <v>6B</v>
      </c>
      <c r="AI81" s="14" t="str">
        <f>K3</f>
        <v>4B</v>
      </c>
      <c r="AJ81" s="14" t="str">
        <f>N3</f>
        <v>1B</v>
      </c>
      <c r="AK81" s="14" t="str">
        <f>Q3</f>
        <v>F3</v>
      </c>
      <c r="AL81" s="1" t="s">
        <v>209</v>
      </c>
      <c r="AM81" s="1" t="str">
        <f>BL39</f>
        <v>36</v>
      </c>
      <c r="AN81" s="27" t="str">
        <f t="shared" ref="AN81:AP84" si="86">BM39</f>
        <v>B8</v>
      </c>
      <c r="AO81" s="27" t="str">
        <f t="shared" si="86"/>
        <v>DB</v>
      </c>
      <c r="AP81" s="27" t="str">
        <f t="shared" si="86"/>
        <v>91</v>
      </c>
      <c r="AR81" s="27" t="str">
        <f>DEC2HEX(_xlfn.BITXOR(HEX2DEC(AH81),HEX2DEC(AM81)))</f>
        <v>5D</v>
      </c>
      <c r="AS81" s="27" t="str">
        <f t="shared" ref="AS81:AU84" si="87">DEC2HEX(_xlfn.BITXOR(HEX2DEC(AI81),HEX2DEC(AN81)))</f>
        <v>F3</v>
      </c>
      <c r="AT81" s="27" t="str">
        <f t="shared" si="87"/>
        <v>C0</v>
      </c>
      <c r="AU81" s="27" t="str">
        <f t="shared" si="87"/>
        <v>62</v>
      </c>
      <c r="AW81" s="1" t="s">
        <v>109</v>
      </c>
      <c r="AX81" s="1" t="s">
        <v>143</v>
      </c>
      <c r="AY81" s="1" t="s">
        <v>125</v>
      </c>
      <c r="AZ81" s="1" t="s">
        <v>204</v>
      </c>
      <c r="BB81" s="45" t="str">
        <f>AW81</f>
        <v>4C</v>
      </c>
      <c r="BC81" s="28" t="str">
        <f t="shared" ref="BC81" si="88">AX81</f>
        <v>0D</v>
      </c>
      <c r="BD81" s="45" t="str">
        <f t="shared" ref="BD81" si="89">AY81</f>
        <v>BA</v>
      </c>
      <c r="BE81" s="45" t="str">
        <f t="shared" ref="BE81" si="90">AZ81</f>
        <v>AA</v>
      </c>
      <c r="BF81" s="45" t="s">
        <v>213</v>
      </c>
      <c r="BG81" s="34">
        <v>2</v>
      </c>
      <c r="BH81" s="34">
        <v>3</v>
      </c>
      <c r="BI81" s="34">
        <v>1</v>
      </c>
      <c r="BJ81" s="34">
        <v>1</v>
      </c>
      <c r="BK81" s="10"/>
      <c r="BL81" s="1" t="str">
        <f>DEC2HEX(_xlfn.BITXOR(_xlfn.BITXOR(_xlfn.BITXOR(HEX2DEC(IF(AND(BG81=3,BB74=0),DEC2HEX(_xlfn.BITXOR(BIN2DEC((RIGHT(HEX2BIN(BB81,8)&amp;LEFT(HEX2BIN($A$1,8),1),8))),HEX2DEC(BB81)),2),IF(AND(BG81=2,BB74=0),BIN2HEX(RIGHT(HEX2BIN(BB81,8)&amp;LEFT(HEX2BIN($A$1,8),1),8)),IF(AND(BG81=2,BB74=1),DEC2HEX(_xlfn.BITXOR(BIN2DEC(RIGHT(HEX2BIN(BB81,8)&amp;LEFT(HEX2BIN($A$1,8),1),8)),HEX2DEC($B$1))),IF(AND(BG81=3,BB74=1),DEC2HEX(_xlfn.BITXOR(_xlfn.BITXOR(BIN2DEC(RIGHT(HEX2BIN(BB81,8)&amp;LEFT(HEX2BIN($A$1,8),1),8)),HEX2DEC($B$1)),HEX2DEC(BB81))),BB81))))),HEX2DEC(IF(AND(BH81=3,BB75=0),DEC2HEX(_xlfn.BITXOR(BIN2DEC((RIGHT(HEX2BIN(BB82,8)&amp;LEFT(HEX2BIN($A$1,8),1),8))),HEX2DEC(BB82)),2),IF(AND(BH81=2,BB75=0),BIN2HEX(RIGHT(HEX2BIN(BB82,8)&amp;LEFT(HEX2BIN($A$1,8),1),8)),IF(AND(BH81=2,BB75=1),DEC2HEX(_xlfn.BITXOR(BIN2DEC(RIGHT(HEX2BIN(BB82,8)&amp;LEFT(HEX2BIN($A$1,8),1),8)),HEX2DEC($B$1))),IF(AND(BH81=3,BB75=1),DEC2HEX(_xlfn.BITXOR(_xlfn.BITXOR(BIN2DEC(RIGHT(HEX2BIN(BB82,8)&amp;LEFT(HEX2BIN($A$1,8),1),8)),HEX2DEC($B$1)),HEX2DEC(BB82))),BB82)))))),HEX2DEC(IF(AND(BI81=3,BB76=0),DEC2HEX(_xlfn.BITXOR(BIN2DEC((RIGHT(HEX2BIN(BB83,8)&amp;LEFT(HEX2BIN($A$1,8),1),8))),HEX2DEC(BB83)),2),IF(AND(BI81=2,BB76=0),BIN2HEX(RIGHT(HEX2BIN(BB83,8)&amp;LEFT(HEX2BIN($A$1,8),1),8)),IF(AND(BI81=2,BB76=1),DEC2HEX(_xlfn.BITXOR(BIN2DEC(RIGHT(HEX2BIN(BB83,8)&amp;LEFT(HEX2BIN($A$1,8),1),8)),HEX2DEC($B$1))),IF(AND(BI81=3,BB76=1),DEC2HEX(_xlfn.BITXOR(_xlfn.BITXOR(BIN2DEC(RIGHT(HEX2BIN(BB83,8)&amp;LEFT(HEX2BIN($A$1,8),1),8)),HEX2DEC($B$1)),HEX2DEC(BB83))),BB83)))))),HEX2DEC(IF(AND(BJ81=3,BB77=0),DEC2HEX(_xlfn.BITXOR(BIN2DEC((RIGHT(HEX2BIN(BB84,8)&amp;LEFT(HEX2BIN($A$1,8),1),8))),HEX2DEC(BB84)),2),IF(AND(BJ81=2,BB77=0),BIN2HEX(RIGHT(HEX2BIN(BB84,8)&amp;LEFT(HEX2BIN($A$1,8),1),8)),IF(AND(BJ81=2,BB77=1),DEC2HEX(_xlfn.BITXOR(BIN2DEC(RIGHT(HEX2BIN(BB84,8)&amp;LEFT(HEX2BIN($A$1,8),1),8)),HEX2DEC($B$1))),IF(AND(BJ81=3,BB77=1),DEC2HEX(_xlfn.BITXOR(_xlfn.BITXOR(BIN2DEC(RIGHT(HEX2BIN(BB84,8)&amp;LEFT(HEX2BIN($A$1,8),1),8)),HEX2DEC($B$1)),HEX2DEC(BB84))),BB84)))))))</f>
        <v>50</v>
      </c>
      <c r="BM81" s="1" t="str">
        <f>DEC2HEX(_xlfn.BITXOR(_xlfn.BITXOR(_xlfn.BITXOR(HEX2DEC(IF(AND(BG81=3,BC74=0),DEC2HEX(_xlfn.BITXOR(BIN2DEC((RIGHT(HEX2BIN(BC81,8)&amp;LEFT(HEX2BIN($A$1,8),1),8))),HEX2DEC(BC81)),2),IF(AND(BG81=2,BC74=0),BIN2HEX(RIGHT(HEX2BIN(BC81,8)&amp;LEFT(HEX2BIN($A$1,8),1),8)),IF(AND(BG81=2,BC74=1),DEC2HEX(_xlfn.BITXOR(BIN2DEC(RIGHT(HEX2BIN(BC81,8)&amp;LEFT(HEX2BIN($A$1,8),1),8)),HEX2DEC($B$1))),IF(AND(BG81=3,BC74=1),DEC2HEX(_xlfn.BITXOR(_xlfn.BITXOR(BIN2DEC(RIGHT(HEX2BIN(BC81,8)&amp;LEFT(HEX2BIN($A$1,8),1),8)),HEX2DEC($B$1)),HEX2DEC(BC81))),BC81))))),HEX2DEC(IF(AND(BH81=3,BC75=0),DEC2HEX(_xlfn.BITXOR(BIN2DEC((RIGHT(HEX2BIN(BC82,8)&amp;LEFT(HEX2BIN($A$1,8),1),8))),HEX2DEC(BC82)),2),IF(AND(BH81=2,BC75=0),BIN2HEX(RIGHT(HEX2BIN(BC82,8)&amp;LEFT(HEX2BIN($A$1,8),1),8)),IF(AND(BH81=2,BC75=1),DEC2HEX(_xlfn.BITXOR(BIN2DEC(RIGHT(HEX2BIN(BC82,8)&amp;LEFT(HEX2BIN($A$1,8),1),8)),HEX2DEC($B$1))),IF(AND(BH81=3,BC75=1),DEC2HEX(_xlfn.BITXOR(_xlfn.BITXOR(BIN2DEC(RIGHT(HEX2BIN(BC82,8)&amp;LEFT(HEX2BIN($A$1,8),1),8)),HEX2DEC($B$1)),HEX2DEC(BC82))),BC82)))))),HEX2DEC(IF(AND(BI81=3,BC76=0),DEC2HEX(_xlfn.BITXOR(BIN2DEC((RIGHT(HEX2BIN(BC83,8)&amp;LEFT(HEX2BIN($A$1,8),1),8))),HEX2DEC(BC83)),2),IF(AND(BI81=2,BC76=0),BIN2HEX(RIGHT(HEX2BIN(BC83,8)&amp;LEFT(HEX2BIN($A$1,8),1),8)),IF(AND(BI81=2,BC76=1),DEC2HEX(_xlfn.BITXOR(BIN2DEC(RIGHT(HEX2BIN(BC83,8)&amp;LEFT(HEX2BIN($A$1,8),1),8)),HEX2DEC($B$1))),IF(AND(BI81=3,BC76=1),DEC2HEX(_xlfn.BITXOR(_xlfn.BITXOR(BIN2DEC(RIGHT(HEX2BIN(BC83,8)&amp;LEFT(HEX2BIN($A$1,8),1),8)),HEX2DEC($B$1)),HEX2DEC(BC83))),BC83)))))),HEX2DEC(IF(AND(BJ81=3,BC77=0),DEC2HEX(_xlfn.BITXOR(BIN2DEC((RIGHT(HEX2BIN(BC84,8)&amp;LEFT(HEX2BIN($A$1,8),1),8))),HEX2DEC(BC84)),2),IF(AND(BJ81=2,BC77=0),BIN2HEX(RIGHT(HEX2BIN(BC84,8)&amp;LEFT(HEX2BIN($A$1,8),1),8)),IF(AND(BJ81=2,BC77=1),DEC2HEX(_xlfn.BITXOR(BIN2DEC(RIGHT(HEX2BIN(BC84,8)&amp;LEFT(HEX2BIN($A$1,8),1),8)),HEX2DEC($B$1))),IF(AND(BJ81=3,BC77=1),DEC2HEX(_xlfn.BITXOR(_xlfn.BITXOR(BIN2DEC(RIGHT(HEX2BIN(BC84,8)&amp;LEFT(HEX2BIN($A$1,8),1),8)),HEX2DEC($B$1)),HEX2DEC(BC84))),BC84)))))))</f>
        <v>8D</v>
      </c>
      <c r="BN81" s="41" t="str">
        <f>DEC2HEX(_xlfn.BITXOR(_xlfn.BITXOR(_xlfn.BITXOR(HEX2DEC(IF(AND(BG81=3,BD74=0),DEC2HEX(_xlfn.BITXOR(BIN2DEC((RIGHT(HEX2BIN(BD81,8)&amp;LEFT(HEX2BIN($A$1,8),1),8))),HEX2DEC(BD81)),2),IF(AND(BG81=2,BD74=0),BIN2HEX(RIGHT(HEX2BIN(BD81,8)&amp;LEFT(HEX2BIN($A$1,8),1),8)),IF(AND(BG81=2,BD74=1),DEC2HEX(_xlfn.BITXOR(BIN2DEC(RIGHT(HEX2BIN(BD81,8)&amp;LEFT(HEX2BIN($A$1,8),1),8)),HEX2DEC($B$1))),IF(AND(BG81=3,BD74=1),DEC2HEX(_xlfn.BITXOR(_xlfn.BITXOR(BIN2DEC(RIGHT(HEX2BIN(BD81,8)&amp;LEFT(HEX2BIN($A$1,8),1),8)),HEX2DEC($B$1)),HEX2DEC(BD81))),BD81))))),HEX2DEC(IF(AND(BH81=3,BD75=0),DEC2HEX(_xlfn.BITXOR(BIN2DEC((RIGHT(HEX2BIN(BD82,8)&amp;LEFT(HEX2BIN($A$1,8),1),8))),HEX2DEC(BD82)),2),IF(AND(BH81=2,BD75=0),BIN2HEX(RIGHT(HEX2BIN(BD82,8)&amp;LEFT(HEX2BIN($A$1,8),1),8)),IF(AND(BH81=2,BD75=1),DEC2HEX(_xlfn.BITXOR(BIN2DEC(RIGHT(HEX2BIN(BD82,8)&amp;LEFT(HEX2BIN($A$1,8),1),8)),HEX2DEC($B$1))),IF(AND(BH81=3,BD75=1),DEC2HEX(_xlfn.BITXOR(_xlfn.BITXOR(BIN2DEC(RIGHT(HEX2BIN(BD82,8)&amp;LEFT(HEX2BIN($A$1,8),1),8)),HEX2DEC($B$1)),HEX2DEC(BD82))),BD82)))))),HEX2DEC(IF(AND(BI81=3,BD76=0),DEC2HEX(_xlfn.BITXOR(BIN2DEC((RIGHT(HEX2BIN(BD83,8)&amp;LEFT(HEX2BIN($A$1,8),1),8))),HEX2DEC(BD83)),2),IF(AND(BI81=2,BD76=0),BIN2HEX(RIGHT(HEX2BIN(BD83,8)&amp;LEFT(HEX2BIN($A$1,8),1),8)),IF(AND(BI81=2,BD76=1),DEC2HEX(_xlfn.BITXOR(BIN2DEC(RIGHT(HEX2BIN(BD83,8)&amp;LEFT(HEX2BIN($A$1,8),1),8)),HEX2DEC($B$1))),IF(AND(BI81=3,BD76=1),DEC2HEX(_xlfn.BITXOR(_xlfn.BITXOR(BIN2DEC(RIGHT(HEX2BIN(BD83,8)&amp;LEFT(HEX2BIN($A$1,8),1),8)),HEX2DEC($B$1)),HEX2DEC(BD83))),BD83)))))),HEX2DEC(IF(AND(BJ81=3,BD77=0),DEC2HEX(_xlfn.BITXOR(BIN2DEC((RIGHT(HEX2BIN(BD84,8)&amp;LEFT(HEX2BIN($A$1,8),1),8))),HEX2DEC(BD84)),2),IF(AND(BJ81=2,BD77=0),BIN2HEX(RIGHT(HEX2BIN(BD84,8)&amp;LEFT(HEX2BIN($A$1,8),1),8)),IF(AND(BJ81=2,BD77=1),DEC2HEX(_xlfn.BITXOR(BIN2DEC(RIGHT(HEX2BIN(BD84,8)&amp;LEFT(HEX2BIN($A$1,8),1),8)),HEX2DEC($B$1))),IF(AND(BJ81=3,BD77=1),DEC2HEX(_xlfn.BITXOR(_xlfn.BITXOR(BIN2DEC(RIGHT(HEX2BIN(BD84,8)&amp;LEFT(HEX2BIN($A$1,8),1),8)),HEX2DEC($B$1)),HEX2DEC(BD84))),BD84)))))))</f>
        <v>1D</v>
      </c>
      <c r="BO81" s="1" t="str">
        <f>DEC2HEX(_xlfn.BITXOR(_xlfn.BITXOR(_xlfn.BITXOR(HEX2DEC(IF(AND(BG81=3,BE74=0),DEC2HEX(_xlfn.BITXOR(BIN2DEC((RIGHT(HEX2BIN(BE81,8)&amp;LEFT(HEX2BIN($A$1,8),1),8))),HEX2DEC(BE81)),2),IF(AND(BG81=2,BE74=0),BIN2HEX(RIGHT(HEX2BIN(BE81,8)&amp;LEFT(HEX2BIN($A$1,8),1),8)),IF(AND(BG81=2,BE74=1),DEC2HEX(_xlfn.BITXOR(BIN2DEC(RIGHT(HEX2BIN(BE81,8)&amp;LEFT(HEX2BIN($A$1,8),1),8)),HEX2DEC($B$1))),IF(AND(BG81=3,BE74=1),DEC2HEX(_xlfn.BITXOR(_xlfn.BITXOR(BIN2DEC(RIGHT(HEX2BIN(BE81,8)&amp;LEFT(HEX2BIN($A$1,8),1),8)),HEX2DEC($B$1)),HEX2DEC(BE81))),BE81))))),HEX2DEC(IF(AND(BH81=3,BE75=0),DEC2HEX(_xlfn.BITXOR(BIN2DEC((RIGHT(HEX2BIN(BE82,8)&amp;LEFT(HEX2BIN($A$1,8),1),8))),HEX2DEC(BE82)),2),IF(AND(BH81=2,BE75=0),BIN2HEX(RIGHT(HEX2BIN(BE82,8)&amp;LEFT(HEX2BIN($A$1,8),1),8)),IF(AND(BH81=2,BE75=1),DEC2HEX(_xlfn.BITXOR(BIN2DEC(RIGHT(HEX2BIN(BE82,8)&amp;LEFT(HEX2BIN($A$1,8),1),8)),HEX2DEC($B$1))),IF(AND(BH81=3,BE75=1),DEC2HEX(_xlfn.BITXOR(_xlfn.BITXOR(BIN2DEC(RIGHT(HEX2BIN(BE82,8)&amp;LEFT(HEX2BIN($A$1,8),1),8)),HEX2DEC($B$1)),HEX2DEC(BE82))),BE82)))))),HEX2DEC(IF(AND(BI81=3,BE76=0),DEC2HEX(_xlfn.BITXOR(BIN2DEC((RIGHT(HEX2BIN(BE83,8)&amp;LEFT(HEX2BIN($A$1,8),1),8))),HEX2DEC(BE83)),2),IF(AND(BI81=2,BE76=0),BIN2HEX(RIGHT(HEX2BIN(BE83,8)&amp;LEFT(HEX2BIN($A$1,8),1),8)),IF(AND(BI81=2,BE76=1),DEC2HEX(_xlfn.BITXOR(BIN2DEC(RIGHT(HEX2BIN(BE83,8)&amp;LEFT(HEX2BIN($A$1,8),1),8)),HEX2DEC($B$1))),IF(AND(BI81=3,BE76=1),DEC2HEX(_xlfn.BITXOR(_xlfn.BITXOR(BIN2DEC(RIGHT(HEX2BIN(BE83,8)&amp;LEFT(HEX2BIN($A$1,8),1),8)),HEX2DEC($B$1)),HEX2DEC(BE83))),BE83)))))),HEX2DEC(IF(AND(BJ81=3,BE77=0),DEC2HEX(_xlfn.BITXOR(BIN2DEC((RIGHT(HEX2BIN(BE84,8)&amp;LEFT(HEX2BIN($A$1,8),1),8))),HEX2DEC(BE84)),2),IF(AND(BJ81=2,BE77=0),BIN2HEX(RIGHT(HEX2BIN(BE84,8)&amp;LEFT(HEX2BIN($A$1,8),1),8)),IF(AND(BJ81=2,BE77=1),DEC2HEX(_xlfn.BITXOR(BIN2DEC(RIGHT(HEX2BIN(BE84,8)&amp;LEFT(HEX2BIN($A$1,8),1),8)),HEX2DEC($B$1))),IF(AND(BJ81=3,BE77=1),DEC2HEX(_xlfn.BITXOR(_xlfn.BITXOR(BIN2DEC(RIGHT(HEX2BIN(BE84,8)&amp;LEFT(HEX2BIN($A$1,8),1),8)),HEX2DEC($B$1)),HEX2DEC(BE84))),BE84)))))))</f>
        <v>B9</v>
      </c>
      <c r="BS81" s="1" t="s">
        <v>237</v>
      </c>
      <c r="BT81" s="1" t="s">
        <v>80</v>
      </c>
      <c r="BU81" s="1" t="s">
        <v>228</v>
      </c>
      <c r="BV81" s="1" t="s">
        <v>113</v>
      </c>
    </row>
    <row r="82" spans="1:74" x14ac:dyDescent="0.25">
      <c r="B82" s="11"/>
      <c r="D82" s="11"/>
      <c r="E82" s="8"/>
      <c r="F82" s="11"/>
      <c r="G82" s="11"/>
      <c r="H82" s="8"/>
      <c r="I82" s="11"/>
      <c r="J82" s="8"/>
      <c r="K82" s="8"/>
      <c r="L82" s="11"/>
      <c r="M82" s="8"/>
      <c r="N82" s="8"/>
      <c r="O82" s="11"/>
      <c r="P82" s="8"/>
      <c r="Q82" s="8"/>
      <c r="R82" s="11"/>
      <c r="T82" s="11"/>
      <c r="U82" s="8"/>
      <c r="V82" s="8"/>
      <c r="W82" s="11"/>
      <c r="X82" s="8"/>
      <c r="Y82" s="8"/>
      <c r="Z82" s="11"/>
      <c r="AA82" s="8"/>
      <c r="AB82" s="8"/>
      <c r="AC82" s="11"/>
      <c r="AD82" s="8"/>
      <c r="AE82" s="8"/>
      <c r="AH82" s="14" t="str">
        <f t="shared" ref="AH82:AH84" si="91">H4</f>
        <v>D</v>
      </c>
      <c r="AI82" s="14" t="str">
        <f t="shared" ref="AI82:AI84" si="92">K4</f>
        <v>CF</v>
      </c>
      <c r="AJ82" s="14" t="str">
        <f t="shared" ref="AJ82:AJ84" si="93">N4</f>
        <v>D1</v>
      </c>
      <c r="AK82" s="14" t="str">
        <f t="shared" ref="AK82:AK84" si="94">Q4</f>
        <v>14</v>
      </c>
      <c r="AM82" s="27" t="str">
        <f t="shared" ref="AM82:AM84" si="95">BL40</f>
        <v>75</v>
      </c>
      <c r="AN82" s="27" t="str">
        <f t="shared" si="86"/>
        <v>64</v>
      </c>
      <c r="AO82" s="27" t="str">
        <f t="shared" si="86"/>
        <v>B</v>
      </c>
      <c r="AP82" s="27" t="str">
        <f t="shared" si="86"/>
        <v>9</v>
      </c>
      <c r="AR82" s="27" t="str">
        <f t="shared" ref="AR82:AR84" si="96">DEC2HEX(_xlfn.BITXOR(HEX2DEC(AH82),HEX2DEC(AM82)))</f>
        <v>78</v>
      </c>
      <c r="AS82" s="27" t="str">
        <f t="shared" si="87"/>
        <v>AB</v>
      </c>
      <c r="AT82" s="27" t="str">
        <f t="shared" si="87"/>
        <v>DA</v>
      </c>
      <c r="AU82" s="27" t="str">
        <f t="shared" si="87"/>
        <v>1D</v>
      </c>
      <c r="AW82" s="1" t="s">
        <v>169</v>
      </c>
      <c r="AX82" s="1">
        <v>62</v>
      </c>
      <c r="AY82" s="1">
        <v>57</v>
      </c>
      <c r="AZ82" s="1" t="s">
        <v>151</v>
      </c>
      <c r="BB82" s="45">
        <f>AX82</f>
        <v>62</v>
      </c>
      <c r="BC82" s="29">
        <f t="shared" ref="BC82" si="97">AY82</f>
        <v>57</v>
      </c>
      <c r="BD82" s="45" t="str">
        <f t="shared" ref="BD82" si="98">AZ82</f>
        <v>A4</v>
      </c>
      <c r="BE82" s="45" t="str">
        <f>AW82</f>
        <v>BC</v>
      </c>
      <c r="BF82" s="45"/>
      <c r="BG82" s="34">
        <v>1</v>
      </c>
      <c r="BH82" s="34">
        <v>2</v>
      </c>
      <c r="BI82" s="34">
        <v>3</v>
      </c>
      <c r="BJ82" s="34">
        <v>1</v>
      </c>
      <c r="BK82" s="10"/>
      <c r="BL82" s="1" t="str">
        <f>DEC2HEX(_xlfn.BITXOR(_xlfn.BITXOR(_xlfn.BITXOR(HEX2DEC(IF(AND(BG82=3,BB74=0),DEC2HEX(_xlfn.BITXOR(BIN2DEC((RIGHT(HEX2BIN(BB81,8)&amp;LEFT(HEX2BIN($A$1,8),1),8))),HEX2DEC(BB81)),2),IF(AND(BG82=2,BB74=0),BIN2HEX(RIGHT(HEX2BIN(BB81,8)&amp;LEFT(HEX2BIN($A$1,8),1),8)),IF(AND(BG82=2,BB74=1),DEC2HEX(_xlfn.BITXOR(BIN2DEC(RIGHT(HEX2BIN(BB81,8)&amp;LEFT(HEX2BIN($A$1,8),1),8)),HEX2DEC($B$1))),IF(AND(BG82=3,BB74=1),DEC2HEX(_xlfn.BITXOR(_xlfn.BITXOR(BIN2DEC(RIGHT(HEX2BIN(BB81,8)&amp;LEFT(HEX2BIN($A$1,8),1),8)),HEX2DEC($B$1)),HEX2DEC(BB81))),BB81))))),HEX2DEC(IF(AND(BH82=3,BB75=0),DEC2HEX(_xlfn.BITXOR(BIN2DEC((RIGHT(HEX2BIN(BB82,8)&amp;LEFT(HEX2BIN($A$1,8),1),8))),HEX2DEC(BB82)),2),IF(AND(BH82=2,BB75=0),BIN2HEX(RIGHT(HEX2BIN(BB82,8)&amp;LEFT(HEX2BIN($A$1,8),1),8)),IF(AND(BH82=2,BB75=1),DEC2HEX(_xlfn.BITXOR(BIN2DEC(RIGHT(HEX2BIN(BB82,8)&amp;LEFT(HEX2BIN($A$1,8),1),8)),HEX2DEC($B$1))),IF(AND(BH82=3,BB75=1),DEC2HEX(_xlfn.BITXOR(_xlfn.BITXOR(BIN2DEC(RIGHT(HEX2BIN(BB82,8)&amp;LEFT(HEX2BIN($A$1,8),1),8)),HEX2DEC($B$1)),HEX2DEC(BB82))),BB82)))))),HEX2DEC(IF(AND(BI82=3,BB76=0),DEC2HEX(_xlfn.BITXOR(BIN2DEC((RIGHT(HEX2BIN(BB83,8)&amp;LEFT(HEX2BIN($A$1,8),1),8))),HEX2DEC(BB83)),2),IF(AND(BI82=2,BB76=0),BIN2HEX(RIGHT(HEX2BIN(BB83,8)&amp;LEFT(HEX2BIN($A$1,8),1),8)),IF(AND(BI82=2,BB76=1),DEC2HEX(_xlfn.BITXOR(BIN2DEC(RIGHT(HEX2BIN(BB83,8)&amp;LEFT(HEX2BIN($A$1,8),1),8)),HEX2DEC($B$1))),IF(AND(BI82=3,BB76=1),DEC2HEX(_xlfn.BITXOR(_xlfn.BITXOR(BIN2DEC(RIGHT(HEX2BIN(BB83,8)&amp;LEFT(HEX2BIN($A$1,8),1),8)),HEX2DEC($B$1)),HEX2DEC(BB83))),BB83)))))),HEX2DEC(IF(AND(BJ82=3,BB77=0),DEC2HEX(_xlfn.BITXOR(BIN2DEC((RIGHT(HEX2BIN(BB84,8)&amp;LEFT(HEX2BIN($A$1,8),1),8))),HEX2DEC(BB84)),2),IF(AND(BJ82=2,BB77=0),BIN2HEX(RIGHT(HEX2BIN(BB84,8)&amp;LEFT(HEX2BIN($A$1,8),1),8)),IF(AND(BJ82=2,BB77=1),DEC2HEX(_xlfn.BITXOR(BIN2DEC(RIGHT(HEX2BIN(BB84,8)&amp;LEFT(HEX2BIN($A$1,8),1),8)),HEX2DEC($B$1))),IF(AND(BJ82=3,BB77=1),DEC2HEX(_xlfn.BITXOR(_xlfn.BITXOR(BIN2DEC(RIGHT(HEX2BIN(BB84,8)&amp;LEFT(HEX2BIN($A$1,8),1),8)),HEX2DEC($B$1)),HEX2DEC(BB84))),BB84)))))))</f>
        <v>4A</v>
      </c>
      <c r="BM82" s="1" t="str">
        <f>DEC2HEX(_xlfn.BITXOR(_xlfn.BITXOR(_xlfn.BITXOR(HEX2DEC(IF(AND(BG82=3,BC74=0),DEC2HEX(_xlfn.BITXOR(BIN2DEC((RIGHT(HEX2BIN(BC81,8)&amp;LEFT(HEX2BIN($A$1,8),1),8))),HEX2DEC(BC81)),2),IF(AND(BG82=2,BC74=0),BIN2HEX(RIGHT(HEX2BIN(BC81,8)&amp;LEFT(HEX2BIN($A$1,8),1),8)),IF(AND(BG82=2,BC74=1),DEC2HEX(_xlfn.BITXOR(BIN2DEC(RIGHT(HEX2BIN(BC81,8)&amp;LEFT(HEX2BIN($A$1,8),1),8)),HEX2DEC($B$1))),IF(AND(BG82=3,BC74=1),DEC2HEX(_xlfn.BITXOR(_xlfn.BITXOR(BIN2DEC(RIGHT(HEX2BIN(BC81,8)&amp;LEFT(HEX2BIN($A$1,8),1),8)),HEX2DEC($B$1)),HEX2DEC(BC81))),BC81))))),HEX2DEC(IF(AND(BH82=3,BC75=0),DEC2HEX(_xlfn.BITXOR(BIN2DEC((RIGHT(HEX2BIN(BC82,8)&amp;LEFT(HEX2BIN($A$1,8),1),8))),HEX2DEC(BC82)),2),IF(AND(BH82=2,BC75=0),BIN2HEX(RIGHT(HEX2BIN(BC82,8)&amp;LEFT(HEX2BIN($A$1,8),1),8)),IF(AND(BH82=2,BC75=1),DEC2HEX(_xlfn.BITXOR(BIN2DEC(RIGHT(HEX2BIN(BC82,8)&amp;LEFT(HEX2BIN($A$1,8),1),8)),HEX2DEC($B$1))),IF(AND(BH82=3,BC75=1),DEC2HEX(_xlfn.BITXOR(_xlfn.BITXOR(BIN2DEC(RIGHT(HEX2BIN(BC82,8)&amp;LEFT(HEX2BIN($A$1,8),1),8)),HEX2DEC($B$1)),HEX2DEC(BC82))),BC82)))))),HEX2DEC(IF(AND(BI82=3,BC76=0),DEC2HEX(_xlfn.BITXOR(BIN2DEC((RIGHT(HEX2BIN(BC83,8)&amp;LEFT(HEX2BIN($A$1,8),1),8))),HEX2DEC(BC83)),2),IF(AND(BI82=2,BC76=0),BIN2HEX(RIGHT(HEX2BIN(BC83,8)&amp;LEFT(HEX2BIN($A$1,8),1),8)),IF(AND(BI82=2,BC76=1),DEC2HEX(_xlfn.BITXOR(BIN2DEC(RIGHT(HEX2BIN(BC83,8)&amp;LEFT(HEX2BIN($A$1,8),1),8)),HEX2DEC($B$1))),IF(AND(BI82=3,BC76=1),DEC2HEX(_xlfn.BITXOR(_xlfn.BITXOR(BIN2DEC(RIGHT(HEX2BIN(BC83,8)&amp;LEFT(HEX2BIN($A$1,8),1),8)),HEX2DEC($B$1)),HEX2DEC(BC83))),BC83)))))),HEX2DEC(IF(AND(BJ82=3,BC77=0),DEC2HEX(_xlfn.BITXOR(BIN2DEC((RIGHT(HEX2BIN(BC84,8)&amp;LEFT(HEX2BIN($A$1,8),1),8))),HEX2DEC(BC84)),2),IF(AND(BJ82=2,BC77=0),BIN2HEX(RIGHT(HEX2BIN(BC84,8)&amp;LEFT(HEX2BIN($A$1,8),1),8)),IF(AND(BJ82=2,BC77=1),DEC2HEX(_xlfn.BITXOR(BIN2DEC(RIGHT(HEX2BIN(BC84,8)&amp;LEFT(HEX2BIN($A$1,8),1),8)),HEX2DEC($B$1))),IF(AND(BJ82=3,BC77=1),DEC2HEX(_xlfn.BITXOR(_xlfn.BITXOR(BIN2DEC(RIGHT(HEX2BIN(BC84,8)&amp;LEFT(HEX2BIN($A$1,8),1),8)),HEX2DEC($B$1)),HEX2DEC(BC84))),BC84)))))))</f>
        <v>23</v>
      </c>
      <c r="BN82" s="1" t="str">
        <f>DEC2HEX(_xlfn.BITXOR(_xlfn.BITXOR(_xlfn.BITXOR(HEX2DEC(IF(AND(BG82=3,BD74=0),DEC2HEX(_xlfn.BITXOR(BIN2DEC((RIGHT(HEX2BIN(BD81,8)&amp;LEFT(HEX2BIN($A$1,8),1),8))),HEX2DEC(BD81)),2),IF(AND(BG82=2,BD74=0),BIN2HEX(RIGHT(HEX2BIN(BD81,8)&amp;LEFT(HEX2BIN($A$1,8),1),8)),IF(AND(BG82=2,BD74=1),DEC2HEX(_xlfn.BITXOR(BIN2DEC(RIGHT(HEX2BIN(BD81,8)&amp;LEFT(HEX2BIN($A$1,8),1),8)),HEX2DEC($B$1))),IF(AND(BG82=3,BD74=1),DEC2HEX(_xlfn.BITXOR(_xlfn.BITXOR(BIN2DEC(RIGHT(HEX2BIN(BD81,8)&amp;LEFT(HEX2BIN($A$1,8),1),8)),HEX2DEC($B$1)),HEX2DEC(BD81))),BD81))))),HEX2DEC(IF(AND(BH82=3,BD75=0),DEC2HEX(_xlfn.BITXOR(BIN2DEC((RIGHT(HEX2BIN(BD82,8)&amp;LEFT(HEX2BIN($A$1,8),1),8))),HEX2DEC(BD82)),2),IF(AND(BH82=2,BD75=0),BIN2HEX(RIGHT(HEX2BIN(BD82,8)&amp;LEFT(HEX2BIN($A$1,8),1),8)),IF(AND(BH82=2,BD75=1),DEC2HEX(_xlfn.BITXOR(BIN2DEC(RIGHT(HEX2BIN(BD82,8)&amp;LEFT(HEX2BIN($A$1,8),1),8)),HEX2DEC($B$1))),IF(AND(BH82=3,BD75=1),DEC2HEX(_xlfn.BITXOR(_xlfn.BITXOR(BIN2DEC(RIGHT(HEX2BIN(BD82,8)&amp;LEFT(HEX2BIN($A$1,8),1),8)),HEX2DEC($B$1)),HEX2DEC(BD82))),BD82)))))),HEX2DEC(IF(AND(BI82=3,BD76=0),DEC2HEX(_xlfn.BITXOR(BIN2DEC((RIGHT(HEX2BIN(BD83,8)&amp;LEFT(HEX2BIN($A$1,8),1),8))),HEX2DEC(BD83)),2),IF(AND(BI82=2,BD76=0),BIN2HEX(RIGHT(HEX2BIN(BD83,8)&amp;LEFT(HEX2BIN($A$1,8),1),8)),IF(AND(BI82=2,BD76=1),DEC2HEX(_xlfn.BITXOR(BIN2DEC(RIGHT(HEX2BIN(BD83,8)&amp;LEFT(HEX2BIN($A$1,8),1),8)),HEX2DEC($B$1))),IF(AND(BI82=3,BD76=1),DEC2HEX(_xlfn.BITXOR(_xlfn.BITXOR(BIN2DEC(RIGHT(HEX2BIN(BD83,8)&amp;LEFT(HEX2BIN($A$1,8),1),8)),HEX2DEC($B$1)),HEX2DEC(BD83))),BD83)))))),HEX2DEC(IF(AND(BJ82=3,BD77=0),DEC2HEX(_xlfn.BITXOR(BIN2DEC((RIGHT(HEX2BIN(BD84,8)&amp;LEFT(HEX2BIN($A$1,8),1),8))),HEX2DEC(BD84)),2),IF(AND(BJ82=2,BD77=0),BIN2HEX(RIGHT(HEX2BIN(BD84,8)&amp;LEFT(HEX2BIN($A$1,8),1),8)),IF(AND(BJ82=2,BD77=1),DEC2HEX(_xlfn.BITXOR(BIN2DEC(RIGHT(HEX2BIN(BD84,8)&amp;LEFT(HEX2BIN($A$1,8),1),8)),HEX2DEC($B$1))),IF(AND(BJ82=3,BD77=1),DEC2HEX(_xlfn.BITXOR(_xlfn.BITXOR(BIN2DEC(RIGHT(HEX2BIN(BD84,8)&amp;LEFT(HEX2BIN($A$1,8),1),8)),HEX2DEC($B$1)),HEX2DEC(BD84))),BD84)))))))</f>
        <v>B1</v>
      </c>
      <c r="BO82" s="1" t="str">
        <f>DEC2HEX(_xlfn.BITXOR(_xlfn.BITXOR(_xlfn.BITXOR(HEX2DEC(IF(AND(BG82=3,BE74=0),DEC2HEX(_xlfn.BITXOR(BIN2DEC((RIGHT(HEX2BIN(BE81,8)&amp;LEFT(HEX2BIN($A$1,8),1),8))),HEX2DEC(BE81)),2),IF(AND(BG82=2,BE74=0),BIN2HEX(RIGHT(HEX2BIN(BE81,8)&amp;LEFT(HEX2BIN($A$1,8),1),8)),IF(AND(BG82=2,BE74=1),DEC2HEX(_xlfn.BITXOR(BIN2DEC(RIGHT(HEX2BIN(BE81,8)&amp;LEFT(HEX2BIN($A$1,8),1),8)),HEX2DEC($B$1))),IF(AND(BG82=3,BE74=1),DEC2HEX(_xlfn.BITXOR(_xlfn.BITXOR(BIN2DEC(RIGHT(HEX2BIN(BE81,8)&amp;LEFT(HEX2BIN($A$1,8),1),8)),HEX2DEC($B$1)),HEX2DEC(BE81))),BE81))))),HEX2DEC(IF(AND(BH82=3,BE75=0),DEC2HEX(_xlfn.BITXOR(BIN2DEC((RIGHT(HEX2BIN(BE82,8)&amp;LEFT(HEX2BIN($A$1,8),1),8))),HEX2DEC(BE82)),2),IF(AND(BH82=2,BE75=0),BIN2HEX(RIGHT(HEX2BIN(BE82,8)&amp;LEFT(HEX2BIN($A$1,8),1),8)),IF(AND(BH82=2,BE75=1),DEC2HEX(_xlfn.BITXOR(BIN2DEC(RIGHT(HEX2BIN(BE82,8)&amp;LEFT(HEX2BIN($A$1,8),1),8)),HEX2DEC($B$1))),IF(AND(BH82=3,BE75=1),DEC2HEX(_xlfn.BITXOR(_xlfn.BITXOR(BIN2DEC(RIGHT(HEX2BIN(BE82,8)&amp;LEFT(HEX2BIN($A$1,8),1),8)),HEX2DEC($B$1)),HEX2DEC(BE82))),BE82)))))),HEX2DEC(IF(AND(BI82=3,BE76=0),DEC2HEX(_xlfn.BITXOR(BIN2DEC((RIGHT(HEX2BIN(BE83,8)&amp;LEFT(HEX2BIN($A$1,8),1),8))),HEX2DEC(BE83)),2),IF(AND(BI82=2,BE76=0),BIN2HEX(RIGHT(HEX2BIN(BE83,8)&amp;LEFT(HEX2BIN($A$1,8),1),8)),IF(AND(BI82=2,BE76=1),DEC2HEX(_xlfn.BITXOR(BIN2DEC(RIGHT(HEX2BIN(BE83,8)&amp;LEFT(HEX2BIN($A$1,8),1),8)),HEX2DEC($B$1))),IF(AND(BI82=3,BE76=1),DEC2HEX(_xlfn.BITXOR(_xlfn.BITXOR(BIN2DEC(RIGHT(HEX2BIN(BE83,8)&amp;LEFT(HEX2BIN($A$1,8),1),8)),HEX2DEC($B$1)),HEX2DEC(BE83))),BE83)))))),HEX2DEC(IF(AND(BJ82=3,BE77=0),DEC2HEX(_xlfn.BITXOR(BIN2DEC((RIGHT(HEX2BIN(BE84,8)&amp;LEFT(HEX2BIN($A$1,8),1),8))),HEX2DEC(BE84)),2),IF(AND(BJ82=2,BE77=0),BIN2HEX(RIGHT(HEX2BIN(BE84,8)&amp;LEFT(HEX2BIN($A$1,8),1),8)),IF(AND(BJ82=2,BE77=1),DEC2HEX(_xlfn.BITXOR(BIN2DEC(RIGHT(HEX2BIN(BE84,8)&amp;LEFT(HEX2BIN($A$1,8),1),8)),HEX2DEC($B$1))),IF(AND(BJ82=3,BE77=1),DEC2HEX(_xlfn.BITXOR(_xlfn.BITXOR(BIN2DEC(RIGHT(HEX2BIN(BE84,8)&amp;LEFT(HEX2BIN($A$1,8),1),8)),HEX2DEC($B$1)),HEX2DEC(BE84))),BE84)))))))</f>
        <v>99</v>
      </c>
      <c r="BS82" s="1" t="s">
        <v>123</v>
      </c>
      <c r="BT82" s="1">
        <v>36</v>
      </c>
      <c r="BU82" s="1" t="s">
        <v>162</v>
      </c>
      <c r="BV82" s="1">
        <v>36</v>
      </c>
    </row>
    <row r="83" spans="1:74" x14ac:dyDescent="0.25">
      <c r="B83" s="11"/>
      <c r="D83" s="11"/>
      <c r="E83" s="8"/>
      <c r="F83" s="11"/>
      <c r="G83" s="11"/>
      <c r="H83" s="8"/>
      <c r="I83" s="11"/>
      <c r="J83" s="8"/>
      <c r="K83" s="8"/>
      <c r="L83" s="11"/>
      <c r="M83" s="8"/>
      <c r="N83" s="8"/>
      <c r="O83" s="11"/>
      <c r="P83" s="8"/>
      <c r="Q83" s="8"/>
      <c r="R83" s="11"/>
      <c r="T83" s="11"/>
      <c r="U83" s="8"/>
      <c r="V83" s="8"/>
      <c r="W83" s="11"/>
      <c r="X83" s="8"/>
      <c r="Y83" s="8"/>
      <c r="Z83" s="11"/>
      <c r="AA83" s="8"/>
      <c r="AB83" s="8"/>
      <c r="AC83" s="11"/>
      <c r="AD83" s="8"/>
      <c r="AE83" s="8"/>
      <c r="AH83" s="14" t="str">
        <f t="shared" si="91"/>
        <v>C9</v>
      </c>
      <c r="AI83" s="14" t="str">
        <f t="shared" si="92"/>
        <v>92</v>
      </c>
      <c r="AJ83" s="14" t="str">
        <f t="shared" si="93"/>
        <v>B2</v>
      </c>
      <c r="AK83" s="14" t="str">
        <f t="shared" si="94"/>
        <v>3F</v>
      </c>
      <c r="AM83" s="27" t="str">
        <f t="shared" si="95"/>
        <v>84</v>
      </c>
      <c r="AN83" s="27" t="str">
        <f t="shared" si="86"/>
        <v>C4</v>
      </c>
      <c r="AO83" s="27" t="str">
        <f t="shared" si="86"/>
        <v>B</v>
      </c>
      <c r="AP83" s="27" t="str">
        <f t="shared" si="86"/>
        <v>3D</v>
      </c>
      <c r="AR83" s="27" t="str">
        <f t="shared" si="96"/>
        <v>4D</v>
      </c>
      <c r="AS83" s="27" t="str">
        <f t="shared" si="87"/>
        <v>56</v>
      </c>
      <c r="AT83" s="27" t="str">
        <f t="shared" si="87"/>
        <v>B9</v>
      </c>
      <c r="AU83" s="27" t="str">
        <f t="shared" si="87"/>
        <v>2</v>
      </c>
      <c r="AW83" s="1" t="s">
        <v>122</v>
      </c>
      <c r="AX83" s="1" t="s">
        <v>66</v>
      </c>
      <c r="AY83" s="1">
        <v>56</v>
      </c>
      <c r="AZ83" s="1">
        <v>77</v>
      </c>
      <c r="BB83" s="45">
        <f>AY83</f>
        <v>56</v>
      </c>
      <c r="BC83" s="29">
        <f>AZ83</f>
        <v>77</v>
      </c>
      <c r="BD83" s="45" t="str">
        <f>AW83</f>
        <v>E3</v>
      </c>
      <c r="BE83" s="45" t="str">
        <f>AX83</f>
        <v>B1</v>
      </c>
      <c r="BF83" s="10"/>
      <c r="BG83" s="31">
        <v>1</v>
      </c>
      <c r="BH83" s="32">
        <v>1</v>
      </c>
      <c r="BI83" s="32">
        <v>2</v>
      </c>
      <c r="BJ83" s="33">
        <v>3</v>
      </c>
      <c r="BK83" s="10"/>
      <c r="BL83" s="1" t="str">
        <f>DEC2HEX(_xlfn.BITXOR(_xlfn.BITXOR(_xlfn.BITXOR(HEX2DEC(IF(AND(BG83=3,BB74=0),DEC2HEX(_xlfn.BITXOR(BIN2DEC((RIGHT(HEX2BIN(BB81,8)&amp;LEFT(HEX2BIN($A$1,8),1),8))),HEX2DEC(BB81)),2),IF(AND(BG83=2,BB74=0),BIN2HEX(RIGHT(HEX2BIN(BB81,8)&amp;LEFT(HEX2BIN($A$1,8),1),8)),IF(AND(BG83=2,BB74=1),DEC2HEX(_xlfn.BITXOR(BIN2DEC(RIGHT(HEX2BIN(BB81,8)&amp;LEFT(HEX2BIN($A$1,8),1),8)),HEX2DEC($B$1))),IF(AND(BG83=3,BB74=1),DEC2HEX(_xlfn.BITXOR(_xlfn.BITXOR(BIN2DEC(RIGHT(HEX2BIN(BB81,8)&amp;LEFT(HEX2BIN($A$1,8),1),8)),HEX2DEC($B$1)),HEX2DEC(BB81))),BB81))))),HEX2DEC(IF(AND(BH83=3,BB75=0),DEC2HEX(_xlfn.BITXOR(BIN2DEC((RIGHT(HEX2BIN(BB82,8)&amp;LEFT(HEX2BIN($A$1,8),1),8))),HEX2DEC(BB82)),2),IF(AND(BH83=2,BB75=0),BIN2HEX(RIGHT(HEX2BIN(BB82,8)&amp;LEFT(HEX2BIN($A$1,8),1),8)),IF(AND(BH83=2,BB75=1),DEC2HEX(_xlfn.BITXOR(BIN2DEC(RIGHT(HEX2BIN(BB82,8)&amp;LEFT(HEX2BIN($A$1,8),1),8)),HEX2DEC($B$1))),IF(AND(BH83=3,BB75=1),DEC2HEX(_xlfn.BITXOR(_xlfn.BITXOR(BIN2DEC(RIGHT(HEX2BIN(BB82,8)&amp;LEFT(HEX2BIN($A$1,8),1),8)),HEX2DEC($B$1)),HEX2DEC(BB82))),BB82)))))),HEX2DEC(IF(AND(BI83=3,BB76=0),DEC2HEX(_xlfn.BITXOR(BIN2DEC((RIGHT(HEX2BIN(BB83,8)&amp;LEFT(HEX2BIN($A$1,8),1),8))),HEX2DEC(BB83)),2),IF(AND(BI83=2,BB76=0),BIN2HEX(RIGHT(HEX2BIN(BB83,8)&amp;LEFT(HEX2BIN($A$1,8),1),8)),IF(AND(BI83=2,BB76=1),DEC2HEX(_xlfn.BITXOR(BIN2DEC(RIGHT(HEX2BIN(BB83,8)&amp;LEFT(HEX2BIN($A$1,8),1),8)),HEX2DEC($B$1))),IF(AND(BI83=3,BB76=1),DEC2HEX(_xlfn.BITXOR(_xlfn.BITXOR(BIN2DEC(RIGHT(HEX2BIN(BB83,8)&amp;LEFT(HEX2BIN($A$1,8),1),8)),HEX2DEC($B$1)),HEX2DEC(BB83))),BB83)))))),HEX2DEC(IF(AND(BJ83=3,BB77=0),DEC2HEX(_xlfn.BITXOR(BIN2DEC((RIGHT(HEX2BIN(BB84,8)&amp;LEFT(HEX2BIN($A$1,8),1),8))),HEX2DEC(BB84)),2),IF(AND(BJ83=2,BB77=0),BIN2HEX(RIGHT(HEX2BIN(BB84,8)&amp;LEFT(HEX2BIN($A$1,8),1),8)),IF(AND(BJ83=2,BB77=1),DEC2HEX(_xlfn.BITXOR(BIN2DEC(RIGHT(HEX2BIN(BB84,8)&amp;LEFT(HEX2BIN($A$1,8),1),8)),HEX2DEC($B$1))),IF(AND(BJ83=3,BB77=1),DEC2HEX(_xlfn.BITXOR(_xlfn.BITXOR(BIN2DEC(RIGHT(HEX2BIN(BB84,8)&amp;LEFT(HEX2BIN($A$1,8),1),8)),HEX2DEC($B$1)),HEX2DEC(BB84))),BB84)))))))</f>
        <v>CA</v>
      </c>
      <c r="BM83" s="1" t="str">
        <f>DEC2HEX(_xlfn.BITXOR(_xlfn.BITXOR(_xlfn.BITXOR(HEX2DEC(IF(AND(BG83=3,BC74=0),DEC2HEX(_xlfn.BITXOR(BIN2DEC((RIGHT(HEX2BIN(BC81,8)&amp;LEFT(HEX2BIN($A$1,8),1),8))),HEX2DEC(BC81)),2),IF(AND(BG83=2,BC74=0),BIN2HEX(RIGHT(HEX2BIN(BC81,8)&amp;LEFT(HEX2BIN($A$1,8),1),8)),IF(AND(BG83=2,BC74=1),DEC2HEX(_xlfn.BITXOR(BIN2DEC(RIGHT(HEX2BIN(BC81,8)&amp;LEFT(HEX2BIN($A$1,8),1),8)),HEX2DEC($B$1))),IF(AND(BG83=3,BC74=1),DEC2HEX(_xlfn.BITXOR(_xlfn.BITXOR(BIN2DEC(RIGHT(HEX2BIN(BC81,8)&amp;LEFT(HEX2BIN($A$1,8),1),8)),HEX2DEC($B$1)),HEX2DEC(BC81))),BC81))))),HEX2DEC(IF(AND(BH83=3,BC75=0),DEC2HEX(_xlfn.BITXOR(BIN2DEC((RIGHT(HEX2BIN(BC82,8)&amp;LEFT(HEX2BIN($A$1,8),1),8))),HEX2DEC(BC82)),2),IF(AND(BH83=2,BC75=0),BIN2HEX(RIGHT(HEX2BIN(BC82,8)&amp;LEFT(HEX2BIN($A$1,8),1),8)),IF(AND(BH83=2,BC75=1),DEC2HEX(_xlfn.BITXOR(BIN2DEC(RIGHT(HEX2BIN(BC82,8)&amp;LEFT(HEX2BIN($A$1,8),1),8)),HEX2DEC($B$1))),IF(AND(BH83=3,BC75=1),DEC2HEX(_xlfn.BITXOR(_xlfn.BITXOR(BIN2DEC(RIGHT(HEX2BIN(BC82,8)&amp;LEFT(HEX2BIN($A$1,8),1),8)),HEX2DEC($B$1)),HEX2DEC(BC82))),BC82)))))),HEX2DEC(IF(AND(BI83=3,BC76=0),DEC2HEX(_xlfn.BITXOR(BIN2DEC((RIGHT(HEX2BIN(BC83,8)&amp;LEFT(HEX2BIN($A$1,8),1),8))),HEX2DEC(BC83)),2),IF(AND(BI83=2,BC76=0),BIN2HEX(RIGHT(HEX2BIN(BC83,8)&amp;LEFT(HEX2BIN($A$1,8),1),8)),IF(AND(BI83=2,BC76=1),DEC2HEX(_xlfn.BITXOR(BIN2DEC(RIGHT(HEX2BIN(BC83,8)&amp;LEFT(HEX2BIN($A$1,8),1),8)),HEX2DEC($B$1))),IF(AND(BI83=3,BC76=1),DEC2HEX(_xlfn.BITXOR(_xlfn.BITXOR(BIN2DEC(RIGHT(HEX2BIN(BC83,8)&amp;LEFT(HEX2BIN($A$1,8),1),8)),HEX2DEC($B$1)),HEX2DEC(BC83))),BC83)))))),HEX2DEC(IF(AND(BJ83=3,BC77=0),DEC2HEX(_xlfn.BITXOR(BIN2DEC((RIGHT(HEX2BIN(BC84,8)&amp;LEFT(HEX2BIN($A$1,8),1),8))),HEX2DEC(BC84)),2),IF(AND(BJ83=2,BC77=0),BIN2HEX(RIGHT(HEX2BIN(BC84,8)&amp;LEFT(HEX2BIN($A$1,8),1),8)),IF(AND(BJ83=2,BC77=1),DEC2HEX(_xlfn.BITXOR(BIN2DEC(RIGHT(HEX2BIN(BC84,8)&amp;LEFT(HEX2BIN($A$1,8),1),8)),HEX2DEC($B$1))),IF(AND(BJ83=3,BC77=1),DEC2HEX(_xlfn.BITXOR(_xlfn.BITXOR(BIN2DEC(RIGHT(HEX2BIN(BC84,8)&amp;LEFT(HEX2BIN($A$1,8),1),8)),HEX2DEC($B$1)),HEX2DEC(BC84))),BC84)))))))</f>
        <v>9F</v>
      </c>
      <c r="BN83" s="1" t="str">
        <f>DEC2HEX(_xlfn.BITXOR(_xlfn.BITXOR(_xlfn.BITXOR(HEX2DEC(IF(AND(BG83=3,BD74=0),DEC2HEX(_xlfn.BITXOR(BIN2DEC((RIGHT(HEX2BIN(BD81,8)&amp;LEFT(HEX2BIN($A$1,8),1),8))),HEX2DEC(BD81)),2),IF(AND(BG83=2,BD74=0),BIN2HEX(RIGHT(HEX2BIN(BD81,8)&amp;LEFT(HEX2BIN($A$1,8),1),8)),IF(AND(BG83=2,BD74=1),DEC2HEX(_xlfn.BITXOR(BIN2DEC(RIGHT(HEX2BIN(BD81,8)&amp;LEFT(HEX2BIN($A$1,8),1),8)),HEX2DEC($B$1))),IF(AND(BG83=3,BD74=1),DEC2HEX(_xlfn.BITXOR(_xlfn.BITXOR(BIN2DEC(RIGHT(HEX2BIN(BD81,8)&amp;LEFT(HEX2BIN($A$1,8),1),8)),HEX2DEC($B$1)),HEX2DEC(BD81))),BD81))))),HEX2DEC(IF(AND(BH83=3,BD75=0),DEC2HEX(_xlfn.BITXOR(BIN2DEC((RIGHT(HEX2BIN(BD82,8)&amp;LEFT(HEX2BIN($A$1,8),1),8))),HEX2DEC(BD82)),2),IF(AND(BH83=2,BD75=0),BIN2HEX(RIGHT(HEX2BIN(BD82,8)&amp;LEFT(HEX2BIN($A$1,8),1),8)),IF(AND(BH83=2,BD75=1),DEC2HEX(_xlfn.BITXOR(BIN2DEC(RIGHT(HEX2BIN(BD82,8)&amp;LEFT(HEX2BIN($A$1,8),1),8)),HEX2DEC($B$1))),IF(AND(BH83=3,BD75=1),DEC2HEX(_xlfn.BITXOR(_xlfn.BITXOR(BIN2DEC(RIGHT(HEX2BIN(BD82,8)&amp;LEFT(HEX2BIN($A$1,8),1),8)),HEX2DEC($B$1)),HEX2DEC(BD82))),BD82)))))),HEX2DEC(IF(AND(BI83=3,BD76=0),DEC2HEX(_xlfn.BITXOR(BIN2DEC((RIGHT(HEX2BIN(BD83,8)&amp;LEFT(HEX2BIN($A$1,8),1),8))),HEX2DEC(BD83)),2),IF(AND(BI83=2,BD76=0),BIN2HEX(RIGHT(HEX2BIN(BD83,8)&amp;LEFT(HEX2BIN($A$1,8),1),8)),IF(AND(BI83=2,BD76=1),DEC2HEX(_xlfn.BITXOR(BIN2DEC(RIGHT(HEX2BIN(BD83,8)&amp;LEFT(HEX2BIN($A$1,8),1),8)),HEX2DEC($B$1))),IF(AND(BI83=3,BD76=1),DEC2HEX(_xlfn.BITXOR(_xlfn.BITXOR(BIN2DEC(RIGHT(HEX2BIN(BD83,8)&amp;LEFT(HEX2BIN($A$1,8),1),8)),HEX2DEC($B$1)),HEX2DEC(BD83))),BD83)))))),HEX2DEC(IF(AND(BJ83=3,BD77=0),DEC2HEX(_xlfn.BITXOR(BIN2DEC((RIGHT(HEX2BIN(BD84,8)&amp;LEFT(HEX2BIN($A$1,8),1),8))),HEX2DEC(BD84)),2),IF(AND(BJ83=2,BD77=0),BIN2HEX(RIGHT(HEX2BIN(BD84,8)&amp;LEFT(HEX2BIN($A$1,8),1),8)),IF(AND(BJ83=2,BD77=1),DEC2HEX(_xlfn.BITXOR(BIN2DEC(RIGHT(HEX2BIN(BD84,8)&amp;LEFT(HEX2BIN($A$1,8),1),8)),HEX2DEC($B$1))),IF(AND(BJ83=3,BD77=1),DEC2HEX(_xlfn.BITXOR(_xlfn.BITXOR(BIN2DEC(RIGHT(HEX2BIN(BD84,8)&amp;LEFT(HEX2BIN($A$1,8),1),8)),HEX2DEC($B$1)),HEX2DEC(BD84))),BD84)))))))</f>
        <v>69</v>
      </c>
      <c r="BO83" s="1" t="str">
        <f>DEC2HEX(_xlfn.BITXOR(_xlfn.BITXOR(_xlfn.BITXOR(HEX2DEC(IF(AND(BG83=3,BE74=0),DEC2HEX(_xlfn.BITXOR(BIN2DEC((RIGHT(HEX2BIN(BE81,8)&amp;LEFT(HEX2BIN($A$1,8),1),8))),HEX2DEC(BE81)),2),IF(AND(BG83=2,BE74=0),BIN2HEX(RIGHT(HEX2BIN(BE81,8)&amp;LEFT(HEX2BIN($A$1,8),1),8)),IF(AND(BG83=2,BE74=1),DEC2HEX(_xlfn.BITXOR(BIN2DEC(RIGHT(HEX2BIN(BE81,8)&amp;LEFT(HEX2BIN($A$1,8),1),8)),HEX2DEC($B$1))),IF(AND(BG83=3,BE74=1),DEC2HEX(_xlfn.BITXOR(_xlfn.BITXOR(BIN2DEC(RIGHT(HEX2BIN(BE81,8)&amp;LEFT(HEX2BIN($A$1,8),1),8)),HEX2DEC($B$1)),HEX2DEC(BE81))),BE81))))),HEX2DEC(IF(AND(BH83=3,BE75=0),DEC2HEX(_xlfn.BITXOR(BIN2DEC((RIGHT(HEX2BIN(BE82,8)&amp;LEFT(HEX2BIN($A$1,8),1),8))),HEX2DEC(BE82)),2),IF(AND(BH83=2,BE75=0),BIN2HEX(RIGHT(HEX2BIN(BE82,8)&amp;LEFT(HEX2BIN($A$1,8),1),8)),IF(AND(BH83=2,BE75=1),DEC2HEX(_xlfn.BITXOR(BIN2DEC(RIGHT(HEX2BIN(BE82,8)&amp;LEFT(HEX2BIN($A$1,8),1),8)),HEX2DEC($B$1))),IF(AND(BH83=3,BE75=1),DEC2HEX(_xlfn.BITXOR(_xlfn.BITXOR(BIN2DEC(RIGHT(HEX2BIN(BE82,8)&amp;LEFT(HEX2BIN($A$1,8),1),8)),HEX2DEC($B$1)),HEX2DEC(BE82))),BE82)))))),HEX2DEC(IF(AND(BI83=3,BE76=0),DEC2HEX(_xlfn.BITXOR(BIN2DEC((RIGHT(HEX2BIN(BE83,8)&amp;LEFT(HEX2BIN($A$1,8),1),8))),HEX2DEC(BE83)),2),IF(AND(BI83=2,BE76=0),BIN2HEX(RIGHT(HEX2BIN(BE83,8)&amp;LEFT(HEX2BIN($A$1,8),1),8)),IF(AND(BI83=2,BE76=1),DEC2HEX(_xlfn.BITXOR(BIN2DEC(RIGHT(HEX2BIN(BE83,8)&amp;LEFT(HEX2BIN($A$1,8),1),8)),HEX2DEC($B$1))),IF(AND(BI83=3,BE76=1),DEC2HEX(_xlfn.BITXOR(_xlfn.BITXOR(BIN2DEC(RIGHT(HEX2BIN(BE83,8)&amp;LEFT(HEX2BIN($A$1,8),1),8)),HEX2DEC($B$1)),HEX2DEC(BE83))),BE83)))))),HEX2DEC(IF(AND(BJ83=3,BE77=0),DEC2HEX(_xlfn.BITXOR(BIN2DEC((RIGHT(HEX2BIN(BE84,8)&amp;LEFT(HEX2BIN($A$1,8),1),8))),HEX2DEC(BE84)),2),IF(AND(BJ83=2,BE77=0),BIN2HEX(RIGHT(HEX2BIN(BE84,8)&amp;LEFT(HEX2BIN($A$1,8),1),8)),IF(AND(BJ83=2,BE77=1),DEC2HEX(_xlfn.BITXOR(BIN2DEC(RIGHT(HEX2BIN(BE84,8)&amp;LEFT(HEX2BIN($A$1,8),1),8)),HEX2DEC($B$1))),IF(AND(BJ83=3,BE77=1),DEC2HEX(_xlfn.BITXOR(_xlfn.BITXOR(BIN2DEC(RIGHT(HEX2BIN(BE84,8)&amp;LEFT(HEX2BIN($A$1,8),1),8)),HEX2DEC($B$1)),HEX2DEC(BE84))),BE84)))))))</f>
        <v>DC</v>
      </c>
      <c r="BS83" s="1" t="s">
        <v>131</v>
      </c>
      <c r="BT83" s="1">
        <v>47</v>
      </c>
      <c r="BU83" s="1" t="s">
        <v>116</v>
      </c>
      <c r="BV83" s="1">
        <v>44</v>
      </c>
    </row>
    <row r="84" spans="1:74" x14ac:dyDescent="0.25">
      <c r="B84" s="11"/>
      <c r="D84" s="11"/>
      <c r="E84" s="8"/>
      <c r="F84" s="11"/>
      <c r="G84" s="11"/>
      <c r="H84" s="8"/>
      <c r="I84" s="11"/>
      <c r="J84" s="8"/>
      <c r="K84" s="8"/>
      <c r="L84" s="11"/>
      <c r="M84" s="8"/>
      <c r="N84" s="8"/>
      <c r="O84" s="11"/>
      <c r="P84" s="8"/>
      <c r="Q84" s="8"/>
      <c r="R84" s="11"/>
      <c r="T84" s="11"/>
      <c r="U84" s="8"/>
      <c r="V84" s="8"/>
      <c r="W84" s="11"/>
      <c r="X84" s="8"/>
      <c r="Y84" s="8"/>
      <c r="Z84" s="11"/>
      <c r="AA84" s="8"/>
      <c r="AB84" s="8"/>
      <c r="AC84" s="11"/>
      <c r="AD84" s="8"/>
      <c r="AE84" s="8"/>
      <c r="AH84" s="14" t="str">
        <f t="shared" si="91"/>
        <v>4F</v>
      </c>
      <c r="AI84" s="14" t="str">
        <f t="shared" si="92"/>
        <v>13</v>
      </c>
      <c r="AJ84" s="14" t="str">
        <f t="shared" si="93"/>
        <v>B9</v>
      </c>
      <c r="AK84" s="14" t="str">
        <f t="shared" si="94"/>
        <v>EB</v>
      </c>
      <c r="AM84" s="27" t="str">
        <f t="shared" si="95"/>
        <v>C1</v>
      </c>
      <c r="AN84" s="27" t="str">
        <f t="shared" si="86"/>
        <v>C0</v>
      </c>
      <c r="AO84" s="27" t="str">
        <f t="shared" si="86"/>
        <v>5B</v>
      </c>
      <c r="AP84" s="27" t="str">
        <f t="shared" si="86"/>
        <v>9D</v>
      </c>
      <c r="AR84" s="27" t="str">
        <f t="shared" si="96"/>
        <v>8E</v>
      </c>
      <c r="AS84" s="27" t="str">
        <f t="shared" si="87"/>
        <v>D3</v>
      </c>
      <c r="AT84" s="27" t="str">
        <f t="shared" si="87"/>
        <v>E2</v>
      </c>
      <c r="AU84" s="27" t="str">
        <f t="shared" si="87"/>
        <v>76</v>
      </c>
      <c r="AW84" s="1">
        <v>19</v>
      </c>
      <c r="AX84" s="1">
        <v>66</v>
      </c>
      <c r="AY84" s="1">
        <v>98</v>
      </c>
      <c r="AZ84" s="1">
        <v>38</v>
      </c>
      <c r="BB84" s="45">
        <f>AZ84</f>
        <v>38</v>
      </c>
      <c r="BC84" s="30">
        <f>AW84</f>
        <v>19</v>
      </c>
      <c r="BD84" s="45">
        <f t="shared" ref="BD84" si="99">AX84</f>
        <v>66</v>
      </c>
      <c r="BE84" s="45">
        <f t="shared" ref="BE84" si="100">AY84</f>
        <v>98</v>
      </c>
      <c r="BF84" s="10"/>
      <c r="BG84" s="34">
        <v>3</v>
      </c>
      <c r="BH84" s="34">
        <v>1</v>
      </c>
      <c r="BI84" s="34">
        <v>1</v>
      </c>
      <c r="BJ84" s="34">
        <v>2</v>
      </c>
      <c r="BK84" s="10"/>
      <c r="BL84" s="1" t="str">
        <f>DEC2HEX(_xlfn.BITXOR(_xlfn.BITXOR(_xlfn.BITXOR(HEX2DEC(IF(AND(BG84=3,BB74=0),DEC2HEX(_xlfn.BITXOR(BIN2DEC((RIGHT(HEX2BIN(BB81,8)&amp;LEFT(HEX2BIN($A$1,8),1),8))),HEX2DEC(BB81)),2),IF(AND(BG84=2,BB74=0),BIN2HEX(RIGHT(HEX2BIN(BB81,8)&amp;LEFT(HEX2BIN($A$1,8),1),8)),IF(AND(BG84=2,BB74=1),DEC2HEX(_xlfn.BITXOR(BIN2DEC(RIGHT(HEX2BIN(BB81,8)&amp;LEFT(HEX2BIN($A$1,8),1),8)),HEX2DEC($B$1))),IF(AND(BG84=3,BB74=1),DEC2HEX(_xlfn.BITXOR(_xlfn.BITXOR(BIN2DEC(RIGHT(HEX2BIN(BB81,8)&amp;LEFT(HEX2BIN($A$1,8),1),8)),HEX2DEC($B$1)),HEX2DEC(BB81))),BB81))))),HEX2DEC(IF(AND(BH84=3,BB75=0),DEC2HEX(_xlfn.BITXOR(BIN2DEC((RIGHT(HEX2BIN(BB82,8)&amp;LEFT(HEX2BIN($A$1,8),1),8))),HEX2DEC(BB82)),2),IF(AND(BH84=2,BB75=0),BIN2HEX(RIGHT(HEX2BIN(BB82,8)&amp;LEFT(HEX2BIN($A$1,8),1),8)),IF(AND(BH84=2,BB75=1),DEC2HEX(_xlfn.BITXOR(BIN2DEC(RIGHT(HEX2BIN(BB82,8)&amp;LEFT(HEX2BIN($A$1,8),1),8)),HEX2DEC($B$1))),IF(AND(BH84=3,BB75=1),DEC2HEX(_xlfn.BITXOR(_xlfn.BITXOR(BIN2DEC(RIGHT(HEX2BIN(BB82,8)&amp;LEFT(HEX2BIN($A$1,8),1),8)),HEX2DEC($B$1)),HEX2DEC(BB82))),BB82)))))),HEX2DEC(IF(AND(BI84=3,BB76=0),DEC2HEX(_xlfn.BITXOR(BIN2DEC((RIGHT(HEX2BIN(BB83,8)&amp;LEFT(HEX2BIN($A$1,8),1),8))),HEX2DEC(BB83)),2),IF(AND(BI84=2,BB76=0),BIN2HEX(RIGHT(HEX2BIN(BB83,8)&amp;LEFT(HEX2BIN($A$1,8),1),8)),IF(AND(BI84=2,BB76=1),DEC2HEX(_xlfn.BITXOR(BIN2DEC(RIGHT(HEX2BIN(BB83,8)&amp;LEFT(HEX2BIN($A$1,8),1),8)),HEX2DEC($B$1))),IF(AND(BI84=3,BB76=1),DEC2HEX(_xlfn.BITXOR(_xlfn.BITXOR(BIN2DEC(RIGHT(HEX2BIN(BB83,8)&amp;LEFT(HEX2BIN($A$1,8),1),8)),HEX2DEC($B$1)),HEX2DEC(BB83))),BB83)))))),HEX2DEC(IF(AND(BJ84=3,BB77=0),DEC2HEX(_xlfn.BITXOR(BIN2DEC((RIGHT(HEX2BIN(BB84,8)&amp;LEFT(HEX2BIN($A$1,8),1),8))),HEX2DEC(BB84)),2),IF(AND(BJ84=2,BB77=0),BIN2HEX(RIGHT(HEX2BIN(BB84,8)&amp;LEFT(HEX2BIN($A$1,8),1),8)),IF(AND(BJ84=2,BB77=1),DEC2HEX(_xlfn.BITXOR(BIN2DEC(RIGHT(HEX2BIN(BB84,8)&amp;LEFT(HEX2BIN($A$1,8),1),8)),HEX2DEC($B$1))),IF(AND(BJ84=3,BB77=1),DEC2HEX(_xlfn.BITXOR(_xlfn.BITXOR(BIN2DEC(RIGHT(HEX2BIN(BB84,8)&amp;LEFT(HEX2BIN($A$1,8),1),8)),HEX2DEC($B$1)),HEX2DEC(BB84))),BB84)))))))</f>
        <v>90</v>
      </c>
      <c r="BM84" s="1" t="str">
        <f>DEC2HEX(_xlfn.BITXOR(_xlfn.BITXOR(_xlfn.BITXOR(HEX2DEC(IF(AND(BG84=3,BC74=0),DEC2HEX(_xlfn.BITXOR(BIN2DEC((RIGHT(HEX2BIN(BC81,8)&amp;LEFT(HEX2BIN($A$1,8),1),8))),HEX2DEC(BC81)),2),IF(AND(BG84=2,BC74=0),BIN2HEX(RIGHT(HEX2BIN(BC81,8)&amp;LEFT(HEX2BIN($A$1,8),1),8)),IF(AND(BG84=2,BC74=1),DEC2HEX(_xlfn.BITXOR(BIN2DEC(RIGHT(HEX2BIN(BC81,8)&amp;LEFT(HEX2BIN($A$1,8),1),8)),HEX2DEC($B$1))),IF(AND(BG84=3,BC74=1),DEC2HEX(_xlfn.BITXOR(_xlfn.BITXOR(BIN2DEC(RIGHT(HEX2BIN(BC81,8)&amp;LEFT(HEX2BIN($A$1,8),1),8)),HEX2DEC($B$1)),HEX2DEC(BC81))),BC81))))),HEX2DEC(IF(AND(BH84=3,BC75=0),DEC2HEX(_xlfn.BITXOR(BIN2DEC((RIGHT(HEX2BIN(BC82,8)&amp;LEFT(HEX2BIN($A$1,8),1),8))),HEX2DEC(BC82)),2),IF(AND(BH84=2,BC75=0),BIN2HEX(RIGHT(HEX2BIN(BC82,8)&amp;LEFT(HEX2BIN($A$1,8),1),8)),IF(AND(BH84=2,BC75=1),DEC2HEX(_xlfn.BITXOR(BIN2DEC(RIGHT(HEX2BIN(BC82,8)&amp;LEFT(HEX2BIN($A$1,8),1),8)),HEX2DEC($B$1))),IF(AND(BH84=3,BC75=1),DEC2HEX(_xlfn.BITXOR(_xlfn.BITXOR(BIN2DEC(RIGHT(HEX2BIN(BC82,8)&amp;LEFT(HEX2BIN($A$1,8),1),8)),HEX2DEC($B$1)),HEX2DEC(BC82))),BC82)))))),HEX2DEC(IF(AND(BI84=3,BC76=0),DEC2HEX(_xlfn.BITXOR(BIN2DEC((RIGHT(HEX2BIN(BC83,8)&amp;LEFT(HEX2BIN($A$1,8),1),8))),HEX2DEC(BC83)),2),IF(AND(BI84=2,BC76=0),BIN2HEX(RIGHT(HEX2BIN(BC83,8)&amp;LEFT(HEX2BIN($A$1,8),1),8)),IF(AND(BI84=2,BC76=1),DEC2HEX(_xlfn.BITXOR(BIN2DEC(RIGHT(HEX2BIN(BC83,8)&amp;LEFT(HEX2BIN($A$1,8),1),8)),HEX2DEC($B$1))),IF(AND(BI84=3,BC76=1),DEC2HEX(_xlfn.BITXOR(_xlfn.BITXOR(BIN2DEC(RIGHT(HEX2BIN(BC83,8)&amp;LEFT(HEX2BIN($A$1,8),1),8)),HEX2DEC($B$1)),HEX2DEC(BC83))),BC83)))))),HEX2DEC(IF(AND(BJ84=3,BC77=0),DEC2HEX(_xlfn.BITXOR(BIN2DEC((RIGHT(HEX2BIN(BC84,8)&amp;LEFT(HEX2BIN($A$1,8),1),8))),HEX2DEC(BC84)),2),IF(AND(BJ84=2,BC77=0),BIN2HEX(RIGHT(HEX2BIN(BC84,8)&amp;LEFT(HEX2BIN($A$1,8),1),8)),IF(AND(BJ84=2,BC77=1),DEC2HEX(_xlfn.BITXOR(BIN2DEC(RIGHT(HEX2BIN(BC84,8)&amp;LEFT(HEX2BIN($A$1,8),1),8)),HEX2DEC($B$1))),IF(AND(BJ84=3,BC77=1),DEC2HEX(_xlfn.BITXOR(_xlfn.BITXOR(BIN2DEC(RIGHT(HEX2BIN(BC84,8)&amp;LEFT(HEX2BIN($A$1,8),1),8)),HEX2DEC($B$1)),HEX2DEC(BC84))),BC84)))))))</f>
        <v>5</v>
      </c>
      <c r="BN84" s="1" t="str">
        <f>DEC2HEX(_xlfn.BITXOR(_xlfn.BITXOR(_xlfn.BITXOR(HEX2DEC(IF(AND(BG84=3,BD74=0),DEC2HEX(_xlfn.BITXOR(BIN2DEC((RIGHT(HEX2BIN(BD81,8)&amp;LEFT(HEX2BIN($A$1,8),1),8))),HEX2DEC(BD81)),2),IF(AND(BG84=2,BD74=0),BIN2HEX(RIGHT(HEX2BIN(BD81,8)&amp;LEFT(HEX2BIN($A$1,8),1),8)),IF(AND(BG84=2,BD74=1),DEC2HEX(_xlfn.BITXOR(BIN2DEC(RIGHT(HEX2BIN(BD81,8)&amp;LEFT(HEX2BIN($A$1,8),1),8)),HEX2DEC($B$1))),IF(AND(BG84=3,BD74=1),DEC2HEX(_xlfn.BITXOR(_xlfn.BITXOR(BIN2DEC(RIGHT(HEX2BIN(BD81,8)&amp;LEFT(HEX2BIN($A$1,8),1),8)),HEX2DEC($B$1)),HEX2DEC(BD81))),BD81))))),HEX2DEC(IF(AND(BH84=3,BD75=0),DEC2HEX(_xlfn.BITXOR(BIN2DEC((RIGHT(HEX2BIN(BD82,8)&amp;LEFT(HEX2BIN($A$1,8),1),8))),HEX2DEC(BD82)),2),IF(AND(BH84=2,BD75=0),BIN2HEX(RIGHT(HEX2BIN(BD82,8)&amp;LEFT(HEX2BIN($A$1,8),1),8)),IF(AND(BH84=2,BD75=1),DEC2HEX(_xlfn.BITXOR(BIN2DEC(RIGHT(HEX2BIN(BD82,8)&amp;LEFT(HEX2BIN($A$1,8),1),8)),HEX2DEC($B$1))),IF(AND(BH84=3,BD75=1),DEC2HEX(_xlfn.BITXOR(_xlfn.BITXOR(BIN2DEC(RIGHT(HEX2BIN(BD82,8)&amp;LEFT(HEX2BIN($A$1,8),1),8)),HEX2DEC($B$1)),HEX2DEC(BD82))),BD82)))))),HEX2DEC(IF(AND(BI84=3,BD76=0),DEC2HEX(_xlfn.BITXOR(BIN2DEC((RIGHT(HEX2BIN(BD83,8)&amp;LEFT(HEX2BIN($A$1,8),1),8))),HEX2DEC(BD83)),2),IF(AND(BI84=2,BD76=0),BIN2HEX(RIGHT(HEX2BIN(BD83,8)&amp;LEFT(HEX2BIN($A$1,8),1),8)),IF(AND(BI84=2,BD76=1),DEC2HEX(_xlfn.BITXOR(BIN2DEC(RIGHT(HEX2BIN(BD83,8)&amp;LEFT(HEX2BIN($A$1,8),1),8)),HEX2DEC($B$1))),IF(AND(BI84=3,BD76=1),DEC2HEX(_xlfn.BITXOR(_xlfn.BITXOR(BIN2DEC(RIGHT(HEX2BIN(BD83,8)&amp;LEFT(HEX2BIN($A$1,8),1),8)),HEX2DEC($B$1)),HEX2DEC(BD83))),BD83)))))),HEX2DEC(IF(AND(BJ84=3,BD77=0),DEC2HEX(_xlfn.BITXOR(BIN2DEC((RIGHT(HEX2BIN(BD84,8)&amp;LEFT(HEX2BIN($A$1,8),1),8))),HEX2DEC(BD84)),2),IF(AND(BJ84=2,BD77=0),BIN2HEX(RIGHT(HEX2BIN(BD84,8)&amp;LEFT(HEX2BIN($A$1,8),1),8)),IF(AND(BJ84=2,BD77=1),DEC2HEX(_xlfn.BITXOR(BIN2DEC(RIGHT(HEX2BIN(BD84,8)&amp;LEFT(HEX2BIN($A$1,8),1),8)),HEX2DEC($B$1))),IF(AND(BJ84=3,BD77=1),DEC2HEX(_xlfn.BITXOR(_xlfn.BITXOR(BIN2DEC(RIGHT(HEX2BIN(BD84,8)&amp;LEFT(HEX2BIN($A$1,8),1),8)),HEX2DEC($B$1)),HEX2DEC(BD84))),BD84)))))))</f>
        <v>5E</v>
      </c>
      <c r="BO84" s="1" t="str">
        <f>DEC2HEX(_xlfn.BITXOR(_xlfn.BITXOR(_xlfn.BITXOR(HEX2DEC(IF(AND(BG84=3,BE74=0),DEC2HEX(_xlfn.BITXOR(BIN2DEC((RIGHT(HEX2BIN(BE81,8)&amp;LEFT(HEX2BIN($A$1,8),1),8))),HEX2DEC(BE81)),2),IF(AND(BG84=2,BE74=0),BIN2HEX(RIGHT(HEX2BIN(BE81,8)&amp;LEFT(HEX2BIN($A$1,8),1),8)),IF(AND(BG84=2,BE74=1),DEC2HEX(_xlfn.BITXOR(BIN2DEC(RIGHT(HEX2BIN(BE81,8)&amp;LEFT(HEX2BIN($A$1,8),1),8)),HEX2DEC($B$1))),IF(AND(BG84=3,BE74=1),DEC2HEX(_xlfn.BITXOR(_xlfn.BITXOR(BIN2DEC(RIGHT(HEX2BIN(BE81,8)&amp;LEFT(HEX2BIN($A$1,8),1),8)),HEX2DEC($B$1)),HEX2DEC(BE81))),BE81))))),HEX2DEC(IF(AND(BH84=3,BE75=0),DEC2HEX(_xlfn.BITXOR(BIN2DEC((RIGHT(HEX2BIN(BE82,8)&amp;LEFT(HEX2BIN($A$1,8),1),8))),HEX2DEC(BE82)),2),IF(AND(BH84=2,BE75=0),BIN2HEX(RIGHT(HEX2BIN(BE82,8)&amp;LEFT(HEX2BIN($A$1,8),1),8)),IF(AND(BH84=2,BE75=1),DEC2HEX(_xlfn.BITXOR(BIN2DEC(RIGHT(HEX2BIN(BE82,8)&amp;LEFT(HEX2BIN($A$1,8),1),8)),HEX2DEC($B$1))),IF(AND(BH84=3,BE75=1),DEC2HEX(_xlfn.BITXOR(_xlfn.BITXOR(BIN2DEC(RIGHT(HEX2BIN(BE82,8)&amp;LEFT(HEX2BIN($A$1,8),1),8)),HEX2DEC($B$1)),HEX2DEC(BE82))),BE82)))))),HEX2DEC(IF(AND(BI84=3,BE76=0),DEC2HEX(_xlfn.BITXOR(BIN2DEC((RIGHT(HEX2BIN(BE83,8)&amp;LEFT(HEX2BIN($A$1,8),1),8))),HEX2DEC(BE83)),2),IF(AND(BI84=2,BE76=0),BIN2HEX(RIGHT(HEX2BIN(BE83,8)&amp;LEFT(HEX2BIN($A$1,8),1),8)),IF(AND(BI84=2,BE76=1),DEC2HEX(_xlfn.BITXOR(BIN2DEC(RIGHT(HEX2BIN(BE83,8)&amp;LEFT(HEX2BIN($A$1,8),1),8)),HEX2DEC($B$1))),IF(AND(BI84=3,BE76=1),DEC2HEX(_xlfn.BITXOR(_xlfn.BITXOR(BIN2DEC(RIGHT(HEX2BIN(BE83,8)&amp;LEFT(HEX2BIN($A$1,8),1),8)),HEX2DEC($B$1)),HEX2DEC(BE83))),BE83)))))),HEX2DEC(IF(AND(BJ84=3,BE77=0),DEC2HEX(_xlfn.BITXOR(BIN2DEC((RIGHT(HEX2BIN(BE84,8)&amp;LEFT(HEX2BIN($A$1,8),1),8))),HEX2DEC(BE84)),2),IF(AND(BJ84=2,BE77=0),BIN2HEX(RIGHT(HEX2BIN(BE84,8)&amp;LEFT(HEX2BIN($A$1,8),1),8)),IF(AND(BJ84=2,BE77=1),DEC2HEX(_xlfn.BITXOR(BIN2DEC(RIGHT(HEX2BIN(BE84,8)&amp;LEFT(HEX2BIN($A$1,8),1),8)),HEX2DEC($B$1))),IF(AND(BJ84=3,BE77=1),DEC2HEX(_xlfn.BITXOR(_xlfn.BITXOR(BIN2DEC(RIGHT(HEX2BIN(BE84,8)&amp;LEFT(HEX2BIN($A$1,8),1),8)),HEX2DEC($B$1)),HEX2DEC(BE84))),BE84)))))))</f>
        <v>C3</v>
      </c>
      <c r="BS84" s="1" t="s">
        <v>78</v>
      </c>
      <c r="BT84" s="1" t="s">
        <v>116</v>
      </c>
      <c r="BU84" s="1">
        <v>42</v>
      </c>
      <c r="BV84" s="1" t="s">
        <v>199</v>
      </c>
    </row>
    <row r="85" spans="1:74" x14ac:dyDescent="0.25">
      <c r="A85" s="11"/>
      <c r="B85" s="11"/>
      <c r="D85" s="11"/>
      <c r="E85" s="8"/>
      <c r="F85" s="11"/>
      <c r="G85" s="11"/>
      <c r="H85" s="8"/>
      <c r="I85" s="11"/>
      <c r="J85" s="8"/>
      <c r="K85" s="8"/>
      <c r="L85" s="11"/>
      <c r="M85" s="8"/>
      <c r="N85" s="8"/>
      <c r="O85" s="11"/>
      <c r="P85" s="8"/>
      <c r="Q85" s="8"/>
      <c r="R85" s="11"/>
      <c r="T85" s="11"/>
      <c r="U85" s="8"/>
      <c r="V85" s="8"/>
      <c r="W85" s="11"/>
      <c r="X85" s="8"/>
      <c r="Y85" s="8"/>
      <c r="Z85" s="11"/>
      <c r="AA85" s="8"/>
      <c r="AB85" s="8"/>
      <c r="AC85" s="11"/>
      <c r="AD85" s="8"/>
      <c r="AE85" s="8"/>
      <c r="BB85" s="45"/>
      <c r="BC85" s="45"/>
      <c r="BD85" s="45"/>
      <c r="BE85" s="45"/>
      <c r="BF85" s="10"/>
      <c r="BG85" s="10"/>
      <c r="BH85" s="10"/>
      <c r="BI85" s="10"/>
      <c r="BJ85" s="10"/>
      <c r="BK85" s="10"/>
    </row>
    <row r="86" spans="1:74" x14ac:dyDescent="0.25">
      <c r="B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G86" s="8"/>
      <c r="AH86" s="8"/>
      <c r="AI86" s="8"/>
      <c r="AJ86" s="8"/>
      <c r="AK86" s="8"/>
      <c r="AL86" s="8"/>
      <c r="AM86" s="8"/>
      <c r="AN86" s="8"/>
      <c r="AO86" s="8"/>
      <c r="BB86" s="45"/>
      <c r="BC86" s="45"/>
      <c r="BD86" s="45"/>
      <c r="BE86" s="45"/>
      <c r="BF86" s="10"/>
      <c r="BG86" s="10"/>
      <c r="BH86" s="10"/>
      <c r="BI86" s="10"/>
      <c r="BJ86" s="10"/>
      <c r="BK86" s="10"/>
    </row>
    <row r="87" spans="1:74" x14ac:dyDescent="0.25">
      <c r="B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G87" s="8"/>
      <c r="AH87" s="8"/>
      <c r="AI87" s="8"/>
      <c r="AJ87" s="8"/>
      <c r="AK87" s="8"/>
      <c r="AL87" s="8"/>
      <c r="AM87" s="8"/>
      <c r="AN87" s="8"/>
      <c r="AO87" s="8"/>
      <c r="AW87" s="27"/>
      <c r="AX87" s="27"/>
      <c r="AY87" s="27"/>
      <c r="AZ87" s="27"/>
      <c r="BB87" s="45"/>
      <c r="BC87" s="45"/>
      <c r="BD87" s="45"/>
      <c r="BE87" s="45"/>
      <c r="BF87" s="10"/>
      <c r="BG87" s="10"/>
      <c r="BH87" s="10"/>
      <c r="BI87" s="10"/>
      <c r="BJ87" s="10"/>
      <c r="BK87" s="10"/>
    </row>
    <row r="88" spans="1:74" x14ac:dyDescent="0.25">
      <c r="B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G88" s="8"/>
      <c r="AH88" s="8"/>
      <c r="AI88" s="8"/>
      <c r="AJ88" s="8"/>
      <c r="AK88" s="8"/>
      <c r="AL88" s="8"/>
      <c r="AM88" s="8"/>
      <c r="AN88" s="8"/>
      <c r="AO88" s="8"/>
      <c r="AW88" s="27"/>
      <c r="AX88" s="27"/>
      <c r="AY88" s="27"/>
      <c r="AZ88" s="27"/>
      <c r="BB88" s="45"/>
      <c r="BC88" s="45"/>
      <c r="BD88" s="45"/>
      <c r="BE88" s="45"/>
      <c r="BF88" s="10"/>
      <c r="BG88" s="10"/>
      <c r="BH88" s="10"/>
      <c r="BI88" s="10"/>
      <c r="BJ88" s="10"/>
      <c r="BK88" s="10"/>
    </row>
    <row r="89" spans="1:74" x14ac:dyDescent="0.25">
      <c r="B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G89" s="8"/>
      <c r="AH89" s="8"/>
      <c r="AI89" s="8"/>
      <c r="AJ89" s="8"/>
      <c r="AK89" s="8"/>
      <c r="AL89" s="8"/>
      <c r="AM89" s="8"/>
      <c r="AN89" s="8"/>
      <c r="AO89" s="8"/>
      <c r="AW89" s="27"/>
      <c r="AX89" s="27"/>
      <c r="AY89" s="27"/>
      <c r="AZ89" s="27"/>
      <c r="BB89" s="45"/>
      <c r="BC89" s="45"/>
      <c r="BD89" s="45"/>
      <c r="BE89" s="45"/>
      <c r="BF89" s="10"/>
      <c r="BG89" s="10"/>
      <c r="BH89" s="10"/>
      <c r="BI89" s="10"/>
      <c r="BJ89" s="10"/>
      <c r="BK89" s="10"/>
    </row>
    <row r="90" spans="1:74" x14ac:dyDescent="0.25">
      <c r="B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G90" s="8"/>
      <c r="AH90" s="8"/>
      <c r="AI90" s="8"/>
      <c r="AJ90" s="8"/>
      <c r="AK90" s="8"/>
      <c r="AL90" s="8"/>
      <c r="AM90" s="8"/>
      <c r="AN90" s="8"/>
      <c r="AO90" s="8"/>
      <c r="AW90" s="27"/>
      <c r="AX90" s="27"/>
      <c r="AY90" s="27"/>
      <c r="AZ90" s="27"/>
      <c r="BB90" s="45"/>
      <c r="BC90" s="45"/>
      <c r="BD90" s="45"/>
      <c r="BE90" s="45"/>
      <c r="BF90" s="10"/>
      <c r="BG90" s="10"/>
      <c r="BH90" s="10"/>
      <c r="BI90" s="10"/>
      <c r="BJ90" s="10"/>
      <c r="BK90" s="10"/>
      <c r="BN90" s="1" t="str">
        <f>IF(AND(BG84=3,BE74=0),DEC2HEX(_xlfn.BITXOR(BIN2DEC((RIGHT(HEX2BIN(BE81,8)&amp;LEFT(HEX2BIN($A$1,8),1),8))),HEX2DEC(BE81)),2),IF(AND(BG84=2,BE74=0),BIN2HEX(RIGHT(HEX2BIN(BE81,8)&amp;LEFT(HEX2BIN($A$1,8),1),8)),IF(AND(BG84=2,BE74=1),DEC2HEX(_xlfn.BITXOR(BIN2DEC(RIGHT(HEX2BIN(BE81,8)&amp;LEFT(HEX2BIN($A$1,8),1),8)),HEX2DEC($B$1))),IF(AND(BG84=3,BE74=1),DEC2HEX(_xlfn.BITXOR(_xlfn.BITXOR(BIN2DEC(RIGHT(HEX2BIN(BE81,8)&amp;LEFT(HEX2BIN($A$1,8),1),8)),HEX2DEC($B$1)),HEX2DEC(BE81))),BE81))))</f>
        <v>E5</v>
      </c>
      <c r="BO90" s="1" t="str">
        <f>IF(AND(BH84=3,BE75=0),DEC2HEX(_xlfn.BITXOR(BIN2DEC((RIGHT(HEX2BIN(BE82,8)&amp;LEFT(HEX2BIN($A$1,8),1),8))),HEX2DEC(BE82)),2),IF(AND(BH84=2,BE75=0),BIN2HEX(RIGHT(HEX2BIN(BE82,8)&amp;LEFT(HEX2BIN($A$1,8),1),8)),IF(AND(BH84=2,BE75=1),DEC2HEX(_xlfn.BITXOR(BIN2DEC(RIGHT(HEX2BIN(BE82,8)&amp;LEFT(HEX2BIN($A$1,8),1),8)),HEX2DEC($B$1))),IF(AND(BH84=3,BE75=1),DEC2HEX(_xlfn.BITXOR(_xlfn.BITXOR(BIN2DEC(RIGHT(HEX2BIN(BE82,8)&amp;LEFT(HEX2BIN($A$1,8),1),8)),HEX2DEC($B$1)),HEX2DEC(BE82))),BE82))))</f>
        <v>BC</v>
      </c>
      <c r="BP90" s="1" t="str">
        <f>IF(AND(BI84=3,BE76=0),DEC2HEX(_xlfn.BITXOR(BIN2DEC((RIGHT(HEX2BIN(BE83,8)&amp;LEFT(HEX2BIN($A$1,8),1),8))),HEX2DEC(BE83)),2),IF(AND(BI84=2,BE76=0),BIN2HEX(RIGHT(HEX2BIN(BE83,8)&amp;LEFT(HEX2BIN($A$1,8),1),8)),IF(AND(BI84=2,BE76=1),DEC2HEX(_xlfn.BITXOR(BIN2DEC(RIGHT(HEX2BIN(BE83,8)&amp;LEFT(HEX2BIN($A$1,8),1),8)),HEX2DEC($B$1))),IF(AND(BI84=3,BE76=1),DEC2HEX(_xlfn.BITXOR(_xlfn.BITXOR(BIN2DEC(RIGHT(HEX2BIN(BE83,8)&amp;LEFT(HEX2BIN($A$1,8),1),8)),HEX2DEC($B$1)),HEX2DEC(BE83))),BE83))))</f>
        <v>B1</v>
      </c>
      <c r="BQ90" s="1" t="str">
        <f>IF(AND(BJ84=3,BE77=0),DEC2HEX(_xlfn.BITXOR(BIN2DEC((RIGHT(HEX2BIN(BE84,8)&amp;LEFT(HEX2BIN($A$1,8),1),8))),HEX2DEC(BE84)),2),IF(AND(BJ84=2,BE77=0),BIN2HEX(RIGHT(HEX2BIN(BE84,8)&amp;LEFT(HEX2BIN($A$1,8),1),8)),IF(AND(BJ84=2,BE77=1),DEC2HEX(_xlfn.BITXOR(BIN2DEC(RIGHT(HEX2BIN(BE84,8)&amp;LEFT(HEX2BIN($A$1,8),1),8)),HEX2DEC($B$1))),IF(AND(BJ84=3,BE77=1),DEC2HEX(_xlfn.BITXOR(_xlfn.BITXOR(BIN2DEC(RIGHT(HEX2BIN(BE84,8)&amp;LEFT(HEX2BIN($A$1,8),1),8)),HEX2DEC($B$1)),HEX2DEC(BE84))),BE84))))</f>
        <v>2B</v>
      </c>
    </row>
    <row r="91" spans="1:74" x14ac:dyDescent="0.25">
      <c r="B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H91" s="116"/>
      <c r="AI91" s="116"/>
      <c r="AJ91" s="116"/>
      <c r="AK91" s="116"/>
      <c r="AR91" s="116"/>
      <c r="AS91" s="116"/>
      <c r="AT91" s="116"/>
      <c r="AU91" s="116"/>
      <c r="AV91" s="27"/>
      <c r="BB91" s="45"/>
      <c r="BC91" s="45"/>
      <c r="BD91" s="45"/>
      <c r="BE91" s="45"/>
    </row>
    <row r="92" spans="1:74" x14ac:dyDescent="0.25">
      <c r="B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M92" s="116"/>
      <c r="AN92" s="116"/>
      <c r="AO92" s="116"/>
      <c r="AP92" s="116"/>
      <c r="AR92" s="27"/>
      <c r="AS92" s="27"/>
      <c r="AT92" s="27"/>
      <c r="AU92" s="27"/>
      <c r="AV92" s="27"/>
      <c r="BL92" s="44" t="str">
        <f>DEC2HEX(_xlfn.BITXOR(_xlfn.BITXOR(_xlfn.BITXOR(HEX2DEC(IF(AND(BG84=3,BE74=0),DEC2HEX(_xlfn.BITXOR(BIN2DEC((RIGHT(HEX2BIN(BE81,8)&amp;LEFT(HEX2BIN($A$1,8),1),8))),HEX2DEC(BE81)),2),IF(AND(BG84=2,BE74=0),BIN2HEX(RIGHT(HEX2BIN(BE81,8)&amp;LEFT(HEX2BIN($A$1,8),1),8)),IF(AND(BG84=2,BE74=1),DEC2HEX(_xlfn.BITXOR(BIN2DEC(RIGHT(HEX2BIN(BE81,8)&amp;LEFT(HEX2BIN($A$1,8),1),8)),HEX2DEC($B$1))),IF(AND(BG84=3,BE74=1),DEC2HEX(_xlfn.BITXOR(_xlfn.BITXOR(BIN2DEC(RIGHT(HEX2BIN(BE81,8)&amp;LEFT(HEX2BIN($A$1,8),1),8)),HEX2DEC($B$1)),HEX2DEC(BE81))),BE81))))),HEX2DEC(IF(AND(BH84=3,BE75=0),DEC2HEX(_xlfn.BITXOR(BIN2DEC((RIGHT(HEX2BIN(BE82,8)&amp;LEFT(HEX2BIN($A$1,8),1),8))),HEX2DEC(BE82)),2),IF(AND(BH84=2,BE75=0),BIN2HEX(RIGHT(HEX2BIN(BE82,8)&amp;LEFT(HEX2BIN($A$1,8),1),8)),IF(AND(BH84=2,BE75=1),DEC2HEX(_xlfn.BITXOR(BIN2DEC(RIGHT(HEX2BIN(BE82,8)&amp;LEFT(HEX2BIN($A$1,8),1),8)),HEX2DEC($B$1))),IF(AND(BH84=3,BE75=1),DEC2HEX(_xlfn.BITXOR(_xlfn.BITXOR(BIN2DEC(RIGHT(HEX2BIN(BE82,8)&amp;LEFT(HEX2BIN($A$1,8),1),8)),HEX2DEC($B$1)),HEX2DEC(BE82))),BE82)))))),HEX2DEC(IF(AND(BI84=3,BE76=0),DEC2HEX(_xlfn.BITXOR(BIN2DEC((RIGHT(HEX2BIN(BE83,8)&amp;LEFT(HEX2BIN($A$1,8),1),8))),HEX2DEC(BE83)),2),IF(AND(BI84=2,BE76=0),BIN2HEX(RIGHT(HEX2BIN(BE83,8)&amp;LEFT(HEX2BIN($A$1,8),1),8)),IF(AND(BI84=2,BE76=1),DEC2HEX(_xlfn.BITXOR(BIN2DEC(RIGHT(HEX2BIN(BE83,8)&amp;LEFT(HEX2BIN($A$1,8),1),8)),HEX2DEC($B$1))),IF(AND(BI84=3,BE76=1),DEC2HEX(_xlfn.BITXOR(_xlfn.BITXOR(BIN2DEC(RIGHT(HEX2BIN(BE83,8)&amp;LEFT(HEX2BIN($A$1,8),1),8)),HEX2DEC($B$1)),HEX2DEC(BE83))),BE83)))))),HEX2DEC(IF(AND(BJ84=3,BE77=0),DEC2HEX(_xlfn.BITXOR(BIN2DEC((RIGHT(HEX2BIN(BE84,8)&amp;LEFT(HEX2BIN($A$1,8),1),8))),HEX2DEC(BE84)),2),IF(AND(BJ84=2,BE77=0),BIN2HEX(RIGHT(HEX2BIN(BE84,8)&amp;LEFT(HEX2BIN($A$1,8),1),8)),IF(AND(BJ84=2,BE77=1),DEC2HEX(_xlfn.BITXOR(BIN2DEC(RIGHT(HEX2BIN(BE84,8)&amp;LEFT(HEX2BIN($A$1,8),1),8)),HEX2DEC($B$1))),IF(AND(BJ84=3,BE77=1),DEC2HEX(_xlfn.BITXOR(_xlfn.BITXOR(BIN2DEC(RIGHT(HEX2BIN(BE84,8)&amp;LEFT(HEX2BIN($A$1,8),1),8)),HEX2DEC($B$1)),HEX2DEC(BE84))),BE84)))))))</f>
        <v>C3</v>
      </c>
    </row>
    <row r="93" spans="1:74" x14ac:dyDescent="0.25">
      <c r="B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I93" s="27"/>
      <c r="AJ93" s="27"/>
      <c r="AK93" s="27"/>
      <c r="AR93" s="27"/>
      <c r="AS93" s="27"/>
      <c r="AT93" s="27"/>
      <c r="AU93" s="27"/>
      <c r="AV93" s="27"/>
    </row>
    <row r="94" spans="1:74" x14ac:dyDescent="0.25">
      <c r="B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H94" s="27"/>
      <c r="AI94" s="27"/>
      <c r="AJ94" s="27"/>
      <c r="AK94" s="27"/>
      <c r="AR94" s="27"/>
      <c r="AS94" s="27"/>
      <c r="AT94" s="27"/>
      <c r="AU94" s="27"/>
      <c r="AV94" s="27"/>
    </row>
    <row r="95" spans="1:74" x14ac:dyDescent="0.25">
      <c r="B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H95" s="27"/>
      <c r="AI95" s="27"/>
      <c r="AJ95" s="27"/>
      <c r="AK95" s="27"/>
      <c r="AR95" s="27"/>
      <c r="AS95" s="27"/>
      <c r="AT95" s="27"/>
      <c r="AU95" s="27"/>
      <c r="AV95" s="27"/>
    </row>
    <row r="96" spans="1:74" x14ac:dyDescent="0.25">
      <c r="B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H96" s="27"/>
      <c r="AI96" s="27"/>
      <c r="AJ96" s="27"/>
      <c r="AK96" s="27"/>
      <c r="AR96" s="27"/>
      <c r="AS96" s="27"/>
      <c r="AT96" s="27"/>
      <c r="AU96" s="27"/>
      <c r="AV96" s="27"/>
    </row>
    <row r="97" spans="2:66" x14ac:dyDescent="0.25">
      <c r="B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</row>
    <row r="98" spans="2:66" x14ac:dyDescent="0.25">
      <c r="B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</row>
    <row r="99" spans="2:66" x14ac:dyDescent="0.25">
      <c r="B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</row>
    <row r="100" spans="2:66" x14ac:dyDescent="0.25">
      <c r="B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</row>
    <row r="101" spans="2:66" x14ac:dyDescent="0.25">
      <c r="B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</row>
    <row r="102" spans="2:66" x14ac:dyDescent="0.25">
      <c r="B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</row>
    <row r="103" spans="2:66" x14ac:dyDescent="0.25">
      <c r="B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</row>
    <row r="104" spans="2:66" x14ac:dyDescent="0.25">
      <c r="B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</row>
    <row r="105" spans="2:66" x14ac:dyDescent="0.25">
      <c r="B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</row>
    <row r="106" spans="2:66" x14ac:dyDescent="0.25">
      <c r="B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</row>
    <row r="107" spans="2:66" x14ac:dyDescent="0.25">
      <c r="B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</row>
    <row r="108" spans="2:66" x14ac:dyDescent="0.25">
      <c r="B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</row>
    <row r="109" spans="2:66" x14ac:dyDescent="0.25">
      <c r="B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</row>
    <row r="110" spans="2:66" x14ac:dyDescent="0.25">
      <c r="B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</row>
    <row r="111" spans="2:66" x14ac:dyDescent="0.25">
      <c r="B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BJ111" t="s">
        <v>179</v>
      </c>
      <c r="BK111"/>
      <c r="BL111" t="s">
        <v>181</v>
      </c>
      <c r="BM111" t="s">
        <v>182</v>
      </c>
      <c r="BN111" t="s">
        <v>180</v>
      </c>
    </row>
    <row r="112" spans="2:66" x14ac:dyDescent="0.25">
      <c r="B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BJ112" t="str">
        <f>BIN2HEX(RIGHT(HEX2BIN(BA135,8)&amp;LEFT(HEX2BIN($A$1,8),1),8))</f>
        <v>0</v>
      </c>
      <c r="BK112"/>
      <c r="BL112" t="str">
        <f>DEC2HEX(_xlfn.BITXOR(BIN2DEC(RIGHT(HEX2BIN(BC123,8)&amp;LEFT(HEX2BIN($A$1,8),1),8)),HEX2DEC($B$1)))</f>
        <v>43</v>
      </c>
      <c r="BM112" t="str">
        <f>DEC2HEX(_xlfn.BITXOR(_xlfn.BITXOR(BIN2DEC(RIGHT(HEX2BIN(BC124,8)&amp;LEFT(HEX2BIN($A$1,8),1),8)),HEX2DEC($B$1)),HEX2DEC(BC124)))</f>
        <v>35</v>
      </c>
      <c r="BN112" t="str">
        <f>DEC2HEX(_xlfn.BITXOR(BIN2DEC((RIGHT(HEX2BIN(BA136,8)&amp;LEFT(HEX2BIN($A$1,8),1),8))),HEX2DEC(BA136)),2)</f>
        <v>00</v>
      </c>
    </row>
    <row r="113" spans="2:74" x14ac:dyDescent="0.25">
      <c r="B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BJ113" s="35"/>
      <c r="BK113" s="35"/>
      <c r="BL113" s="35"/>
      <c r="BM113" s="35"/>
      <c r="BN113" s="35"/>
    </row>
    <row r="114" spans="2:74" x14ac:dyDescent="0.25">
      <c r="B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35"/>
      <c r="BM114" s="35"/>
      <c r="BN114" s="35"/>
    </row>
    <row r="115" spans="2:74" x14ac:dyDescent="0.25">
      <c r="B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35" t="s">
        <v>215</v>
      </c>
      <c r="BM115" s="35"/>
      <c r="BN115" s="35"/>
    </row>
    <row r="116" spans="2:74" x14ac:dyDescent="0.25">
      <c r="B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BB116" s="75">
        <f>IF(BIN2DEC(LEFT(HEX2BIN(BB123,8),1))=0,0,1)</f>
        <v>0</v>
      </c>
      <c r="BC116" s="75">
        <f>IF(BIN2DEC(LEFT(HEX2BIN(BC123,8),1))=0,0,1)</f>
        <v>1</v>
      </c>
      <c r="BD116" s="75">
        <f>IF(BIN2DEC(LEFT(HEX2BIN(BD123,8),1))=0,0,1)</f>
        <v>1</v>
      </c>
      <c r="BE116" s="75">
        <f>IF(BIN2DEC(LEFT(HEX2BIN(BE123,8),1))=0,0,1)</f>
        <v>1</v>
      </c>
      <c r="BF116" s="10"/>
      <c r="BG116" s="10"/>
      <c r="BH116" s="10"/>
      <c r="BI116" s="10"/>
      <c r="BJ116" s="10"/>
      <c r="BK116" s="10"/>
      <c r="BL116" s="35" t="str">
        <f>DEC2HEX(_xlfn.BITXOR(_xlfn.BITXOR(_xlfn.BITXOR(HEX2DEC(BK119),HEX2DEC(BL119)),HEX2DEC(BM119)),HEX2DEC(BN119)))</f>
        <v>E1</v>
      </c>
      <c r="BM116" s="35"/>
      <c r="BN116" s="35"/>
    </row>
    <row r="117" spans="2:74" x14ac:dyDescent="0.25">
      <c r="B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BB117" s="75">
        <f t="shared" ref="BB117:BE117" si="101">IF(BIN2DEC(LEFT(HEX2BIN(BB124,8),1))=0,0,1)</f>
        <v>0</v>
      </c>
      <c r="BC117" s="75">
        <f t="shared" si="101"/>
        <v>0</v>
      </c>
      <c r="BD117" s="75">
        <f t="shared" si="101"/>
        <v>0</v>
      </c>
      <c r="BE117" s="75">
        <f t="shared" si="101"/>
        <v>1</v>
      </c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</row>
    <row r="118" spans="2:74" x14ac:dyDescent="0.25">
      <c r="B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BB118" s="75">
        <f t="shared" ref="BB118:BE118" si="102">IF(BIN2DEC(LEFT(HEX2BIN(BB125,8),1))=0,0,1)</f>
        <v>0</v>
      </c>
      <c r="BC118" s="75">
        <f t="shared" si="102"/>
        <v>1</v>
      </c>
      <c r="BD118" s="75">
        <f t="shared" si="102"/>
        <v>1</v>
      </c>
      <c r="BE118" s="75">
        <f t="shared" si="102"/>
        <v>0</v>
      </c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</row>
    <row r="119" spans="2:74" x14ac:dyDescent="0.25">
      <c r="B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BB119" s="75">
        <f t="shared" ref="BB119:BE119" si="103">IF(BIN2DEC(LEFT(HEX2BIN(BB126,8),1))=0,0,1)</f>
        <v>1</v>
      </c>
      <c r="BC119" s="75">
        <f t="shared" si="103"/>
        <v>1</v>
      </c>
      <c r="BD119" s="75">
        <f t="shared" si="103"/>
        <v>0</v>
      </c>
      <c r="BE119" s="75">
        <f t="shared" si="103"/>
        <v>0</v>
      </c>
      <c r="BF119" s="10"/>
      <c r="BG119" s="10"/>
      <c r="BH119" s="10"/>
      <c r="BI119" s="10"/>
      <c r="BJ119" s="10"/>
      <c r="BK119" t="str">
        <f>BC123</f>
        <v>AC</v>
      </c>
      <c r="BL119" t="str">
        <f>DEC2HEX(_xlfn.BITXOR(BIN2DEC(RIGHT(HEX2BIN(BC124,8)&amp;LEFT(HEX2BIN($A$1,8),1),8)),HEX2DEC($B$1)))</f>
        <v>2F</v>
      </c>
      <c r="BM119" t="str">
        <f>DEC2HEX(_xlfn.BITXOR(BIN2DEC((RIGHT(HEX2BIN(BC125,8)&amp;LEFT(HEX2BIN($A$1,8),1),8))),HEX2DEC(BC125)),2)</f>
        <v>B5</v>
      </c>
      <c r="BN119" t="str">
        <f>BC126</f>
        <v>D7</v>
      </c>
      <c r="BO119" s="10"/>
    </row>
    <row r="120" spans="2:74" x14ac:dyDescent="0.25">
      <c r="B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W120" s="116" t="s">
        <v>226</v>
      </c>
      <c r="AX120" s="116"/>
      <c r="AY120" s="116"/>
      <c r="AZ120" s="116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</row>
    <row r="121" spans="2:74" ht="15.75" x14ac:dyDescent="0.25">
      <c r="B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H121" s="76" t="s">
        <v>275</v>
      </c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</row>
    <row r="122" spans="2:74" x14ac:dyDescent="0.25">
      <c r="B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H122" s="116" t="s">
        <v>247</v>
      </c>
      <c r="AI122" s="116"/>
      <c r="AJ122" s="116"/>
      <c r="AK122" s="116"/>
      <c r="AR122" s="116" t="s">
        <v>221</v>
      </c>
      <c r="AS122" s="116"/>
      <c r="AT122" s="116"/>
      <c r="AU122" s="116"/>
      <c r="AW122" s="116" t="s">
        <v>222</v>
      </c>
      <c r="AX122" s="116"/>
      <c r="AY122" s="116"/>
      <c r="AZ122" s="116"/>
      <c r="BB122" s="118" t="s">
        <v>224</v>
      </c>
      <c r="BC122" s="118"/>
      <c r="BD122" s="118"/>
      <c r="BE122" s="118"/>
      <c r="BF122" s="10"/>
      <c r="BG122" s="10"/>
      <c r="BH122" s="10"/>
      <c r="BI122" s="10"/>
      <c r="BJ122" s="10"/>
      <c r="BK122" s="10"/>
      <c r="BL122" s="118" t="s">
        <v>225</v>
      </c>
      <c r="BM122" s="118"/>
      <c r="BN122" s="118"/>
      <c r="BO122" s="118"/>
    </row>
    <row r="123" spans="2:74" x14ac:dyDescent="0.25">
      <c r="B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H123" s="14" t="str">
        <f>V3</f>
        <v>7F</v>
      </c>
      <c r="AI123" s="14" t="str">
        <f>Y3</f>
        <v>27</v>
      </c>
      <c r="AJ123" s="14" t="str">
        <f>AB3</f>
        <v>9E</v>
      </c>
      <c r="AK123" s="14" t="str">
        <f>AE3</f>
        <v>C3</v>
      </c>
      <c r="AL123" s="1" t="s">
        <v>220</v>
      </c>
      <c r="AM123" s="1" t="str">
        <f t="shared" ref="AM123:AP126" si="104">BL81</f>
        <v>50</v>
      </c>
      <c r="AN123" s="35" t="str">
        <f t="shared" si="104"/>
        <v>8D</v>
      </c>
      <c r="AO123" s="35" t="str">
        <f t="shared" si="104"/>
        <v>1D</v>
      </c>
      <c r="AP123" s="35" t="str">
        <f t="shared" si="104"/>
        <v>B9</v>
      </c>
      <c r="AR123" s="35" t="str">
        <f>DEC2HEX(_xlfn.BITXOR(HEX2DEC(AH123),HEX2DEC(AM123)))</f>
        <v>2F</v>
      </c>
      <c r="AS123" s="35" t="str">
        <f t="shared" ref="AS123:AU126" si="105">DEC2HEX(_xlfn.BITXOR(HEX2DEC(AI123),HEX2DEC(AN123)))</f>
        <v>AA</v>
      </c>
      <c r="AT123" s="35" t="str">
        <f t="shared" si="105"/>
        <v>83</v>
      </c>
      <c r="AU123" s="35" t="str">
        <f t="shared" si="105"/>
        <v>7A</v>
      </c>
      <c r="AW123" s="1">
        <v>15</v>
      </c>
      <c r="AX123" s="1" t="s">
        <v>287</v>
      </c>
      <c r="AY123" s="1" t="s">
        <v>149</v>
      </c>
      <c r="AZ123" s="1" t="s">
        <v>108</v>
      </c>
      <c r="BB123" s="10">
        <f>AW123</f>
        <v>15</v>
      </c>
      <c r="BC123" s="10" t="str">
        <f t="shared" ref="BC123" si="106">AX123</f>
        <v>AC</v>
      </c>
      <c r="BD123" s="10" t="str">
        <f t="shared" ref="BD123" si="107">AY123</f>
        <v>EC</v>
      </c>
      <c r="BE123" s="28" t="str">
        <f t="shared" ref="BE123" si="108">AZ123</f>
        <v>DA</v>
      </c>
      <c r="BF123" s="10"/>
      <c r="BG123" s="34">
        <v>2</v>
      </c>
      <c r="BH123" s="34">
        <v>3</v>
      </c>
      <c r="BI123" s="34">
        <v>1</v>
      </c>
      <c r="BJ123" s="34">
        <v>1</v>
      </c>
      <c r="BK123" s="10"/>
      <c r="BL123" s="44" t="str">
        <f>DEC2HEX(_xlfn.BITXOR(_xlfn.BITXOR(_xlfn.BITXOR(HEX2DEC(IF(AND(BG123=3,BB116=0),DEC2HEX(_xlfn.BITXOR(BIN2DEC((RIGHT(HEX2BIN(BB123,8)&amp;LEFT(HEX2BIN($A$1,8),1),8))),HEX2DEC(BB123)),2),IF(AND(BG123=2,BB116=0),BIN2HEX(RIGHT(HEX2BIN(BB123,8)&amp;LEFT(HEX2BIN($A$1,8),1),8)),IF(AND(BG123=2,BB116=1),DEC2HEX(_xlfn.BITXOR(BIN2DEC(RIGHT(HEX2BIN(BB123,8)&amp;LEFT(HEX2BIN($A$1,8),1),8)),HEX2DEC($B$1))),IF(AND(BG123=3,BB116=1),DEC2HEX(_xlfn.BITXOR(_xlfn.BITXOR(BIN2DEC(RIGHT(HEX2BIN(BB123,8)&amp;LEFT(HEX2BIN($A$1,8),1),8)),HEX2DEC($B$1)),HEX2DEC(BB123))),BB123))))),HEX2DEC(IF(AND(BH123=3,BB117=0),DEC2HEX(_xlfn.BITXOR(BIN2DEC((RIGHT(HEX2BIN(BB124,8)&amp;LEFT(HEX2BIN($A$1,8),1),8))),HEX2DEC(BB124)),2),IF(AND(BH123=2,BB117=0),BIN2HEX(RIGHT(HEX2BIN(BB124,8)&amp;LEFT(HEX2BIN($A$1,8),1),8)),IF(AND(BH123=2,BB117=1),DEC2HEX(_xlfn.BITXOR(BIN2DEC(RIGHT(HEX2BIN(BB124,8)&amp;LEFT(HEX2BIN($A$1,8),1),8)),HEX2DEC($B$1))),IF(AND(BH123=3,BB117=1),DEC2HEX(_xlfn.BITXOR(_xlfn.BITXOR(BIN2DEC(RIGHT(HEX2BIN(BB124,8)&amp;LEFT(HEX2BIN($A$1,8),1),8)),HEX2DEC($B$1)),HEX2DEC(BB124))),BB124)))))),HEX2DEC(IF(AND(BI123=3,BB118=0),DEC2HEX(_xlfn.BITXOR(BIN2DEC((RIGHT(HEX2BIN(BB125,8)&amp;LEFT(HEX2BIN($A$1,8),1),8))),HEX2DEC(BB125)),2),IF(AND(BI123=2,BB118=0),BIN2HEX(RIGHT(HEX2BIN(BB125,8)&amp;LEFT(HEX2BIN($A$1,8),1),8)),IF(AND(BI123=2,BB118=1),DEC2HEX(_xlfn.BITXOR(BIN2DEC(RIGHT(HEX2BIN(BB125,8)&amp;LEFT(HEX2BIN($A$1,8),1),8)),HEX2DEC($B$1))),IF(AND(BI123=3,BB118=1),DEC2HEX(_xlfn.BITXOR(_xlfn.BITXOR(BIN2DEC(RIGHT(HEX2BIN(BB125,8)&amp;LEFT(HEX2BIN($A$1,8),1),8)),HEX2DEC($B$1)),HEX2DEC(BB125))),BB125)))))),HEX2DEC(IF(AND(BJ123=3,BB119=0),DEC2HEX(_xlfn.BITXOR(BIN2DEC((RIGHT(HEX2BIN(BB126,8)&amp;LEFT(HEX2BIN($A$1,8),1),8))),HEX2DEC(BB126)),2),IF(AND(BJ123=2,BB119=0),BIN2HEX(RIGHT(HEX2BIN(BB126,8)&amp;LEFT(HEX2BIN($A$1,8),1),8)),IF(AND(BJ123=2,BB119=1),DEC2HEX(_xlfn.BITXOR(BIN2DEC(RIGHT(HEX2BIN(BB126,8)&amp;LEFT(HEX2BIN($A$1,8),1),8)),HEX2DEC($B$1))),IF(AND(BJ123=3,BB119=1),DEC2HEX(_xlfn.BITXOR(_xlfn.BITXOR(BIN2DEC(RIGHT(HEX2BIN(BB126,8)&amp;LEFT(HEX2BIN($A$1,8),1),8)),HEX2DEC($B$1)),HEX2DEC(BB126))),BB126)))))))</f>
        <v>BB</v>
      </c>
      <c r="BM123" s="44" t="str">
        <f>DEC2HEX(_xlfn.BITXOR(_xlfn.BITXOR(_xlfn.BITXOR(HEX2DEC(IF(AND(BG123=3,BC116=0),DEC2HEX(_xlfn.BITXOR(BIN2DEC((RIGHT(HEX2BIN(BC123,8)&amp;LEFT(HEX2BIN($A$1,8),1),8))),HEX2DEC(BC123)),2),IF(AND(BG123=2,BC116=0),BIN2HEX(RIGHT(HEX2BIN(BC123,8)&amp;LEFT(HEX2BIN($A$1,8),1),8)),IF(AND(BG123=2,BC116=1),DEC2HEX(_xlfn.BITXOR(BIN2DEC(RIGHT(HEX2BIN(BC123,8)&amp;LEFT(HEX2BIN($A$1,8),1),8)),HEX2DEC($B$1))),IF(AND(BG123=3,BC116=1),DEC2HEX(_xlfn.BITXOR(_xlfn.BITXOR(BIN2DEC(RIGHT(HEX2BIN(BC123,8)&amp;LEFT(HEX2BIN($A$1,8),1),8)),HEX2DEC($B$1)),HEX2DEC(BC123))),BC123))))),HEX2DEC(IF(AND(BH123=3,BC117=0),DEC2HEX(_xlfn.BITXOR(BIN2DEC((RIGHT(HEX2BIN(BC124,8)&amp;LEFT(HEX2BIN($A$1,8),1),8))),HEX2DEC(BC124)),2),IF(AND(BH123=2,BC117=0),BIN2HEX(RIGHT(HEX2BIN(BC124,8)&amp;LEFT(HEX2BIN($A$1,8),1),8)),IF(AND(BH123=2,BC117=1),DEC2HEX(_xlfn.BITXOR(BIN2DEC(RIGHT(HEX2BIN(BC124,8)&amp;LEFT(HEX2BIN($A$1,8),1),8)),HEX2DEC($B$1))),IF(AND(BH123=3,BC117=1),DEC2HEX(_xlfn.BITXOR(_xlfn.BITXOR(BIN2DEC(RIGHT(HEX2BIN(BC124,8)&amp;LEFT(HEX2BIN($A$1,8),1),8)),HEX2DEC($B$1)),HEX2DEC(BC124))),BC124)))))),HEX2DEC(IF(AND(BI123=3,BC118=0),DEC2HEX(_xlfn.BITXOR(BIN2DEC((RIGHT(HEX2BIN(BC125,8)&amp;LEFT(HEX2BIN($A$1,8),1),8))),HEX2DEC(BC125)),2),IF(AND(BI123=2,BC118=0),BIN2HEX(RIGHT(HEX2BIN(BC125,8)&amp;LEFT(HEX2BIN($A$1,8),1),8)),IF(AND(BI123=2,BC118=1),DEC2HEX(_xlfn.BITXOR(BIN2DEC(RIGHT(HEX2BIN(BC125,8)&amp;LEFT(HEX2BIN($A$1,8),1),8)),HEX2DEC($B$1))),IF(AND(BI123=3,BC118=1),DEC2HEX(_xlfn.BITXOR(_xlfn.BITXOR(BIN2DEC(RIGHT(HEX2BIN(BC125,8)&amp;LEFT(HEX2BIN($A$1,8),1),8)),HEX2DEC($B$1)),HEX2DEC(BC125))),BC125)))))),HEX2DEC(IF(AND(BJ123=3,BC119=0),DEC2HEX(_xlfn.BITXOR(BIN2DEC((RIGHT(HEX2BIN(BC126,8)&amp;LEFT(HEX2BIN($A$1,8),1),8))),HEX2DEC(BC126)),2),IF(AND(BJ123=2,BC119=0),BIN2HEX(RIGHT(HEX2BIN(BC126,8)&amp;LEFT(HEX2BIN($A$1,8),1),8)),IF(AND(BJ123=2,BC119=1),DEC2HEX(_xlfn.BITXOR(BIN2DEC(RIGHT(HEX2BIN(BC126,8)&amp;LEFT(HEX2BIN($A$1,8),1),8)),HEX2DEC($B$1))),IF(AND(BJ123=3,BC119=1),DEC2HEX(_xlfn.BITXOR(_xlfn.BITXOR(BIN2DEC(RIGHT(HEX2BIN(BC126,8)&amp;LEFT(HEX2BIN($A$1,8),1),8)),HEX2DEC($B$1)),HEX2DEC(BC126))),BC126)))))))</f>
        <v>29</v>
      </c>
      <c r="BN123" s="41" t="str">
        <f>DEC2HEX(_xlfn.BITXOR(_xlfn.BITXOR(_xlfn.BITXOR(HEX2DEC(IF(AND(BG123=3,BD116=0),DEC2HEX(_xlfn.BITXOR(BIN2DEC((RIGHT(HEX2BIN(BD123,8)&amp;LEFT(HEX2BIN($A$1,8),1),8))),HEX2DEC(BD123)),2),IF(AND(BG123=2,BD116=0),BIN2HEX(RIGHT(HEX2BIN(BD123,8)&amp;LEFT(HEX2BIN($A$1,8),1),8)),IF(AND(BG123=2,BD116=1),DEC2HEX(_xlfn.BITXOR(BIN2DEC(RIGHT(HEX2BIN(BD123,8)&amp;LEFT(HEX2BIN($A$1,8),1),8)),HEX2DEC($B$1))),IF(AND(BG123=3,BD116=1),DEC2HEX(_xlfn.BITXOR(_xlfn.BITXOR(BIN2DEC(RIGHT(HEX2BIN(BD123,8)&amp;LEFT(HEX2BIN($A$1,8),1),8)),HEX2DEC($B$1)),HEX2DEC(BD123))),BD123))))),HEX2DEC(IF(AND(BH123=3,BD117=0),DEC2HEX(_xlfn.BITXOR(BIN2DEC((RIGHT(HEX2BIN(BD124,8)&amp;LEFT(HEX2BIN($A$1,8),1),8))),HEX2DEC(BD124)),2),IF(AND(BH123=2,BD117=0),BIN2HEX(RIGHT(HEX2BIN(BD124,8)&amp;LEFT(HEX2BIN($A$1,8),1),8)),IF(AND(BH123=2,BD117=1),DEC2HEX(_xlfn.BITXOR(BIN2DEC(RIGHT(HEX2BIN(BD124,8)&amp;LEFT(HEX2BIN($A$1,8),1),8)),HEX2DEC($B$1))),IF(AND(BH123=3,BD117=1),DEC2HEX(_xlfn.BITXOR(_xlfn.BITXOR(BIN2DEC(RIGHT(HEX2BIN(BD124,8)&amp;LEFT(HEX2BIN($A$1,8),1),8)),HEX2DEC($B$1)),HEX2DEC(BD124))),BD124)))))),HEX2DEC(IF(AND(BI123=3,BD118=0),DEC2HEX(_xlfn.BITXOR(BIN2DEC((RIGHT(HEX2BIN(BD125,8)&amp;LEFT(HEX2BIN($A$1,8),1),8))),HEX2DEC(BD125)),2),IF(AND(BI123=2,BD118=0),BIN2HEX(RIGHT(HEX2BIN(BD125,8)&amp;LEFT(HEX2BIN($A$1,8),1),8)),IF(AND(BI123=2,BD118=1),DEC2HEX(_xlfn.BITXOR(BIN2DEC(RIGHT(HEX2BIN(BD125,8)&amp;LEFT(HEX2BIN($A$1,8),1),8)),HEX2DEC($B$1))),IF(AND(BI123=3,BD118=1),DEC2HEX(_xlfn.BITXOR(_xlfn.BITXOR(BIN2DEC(RIGHT(HEX2BIN(BD125,8)&amp;LEFT(HEX2BIN($A$1,8),1),8)),HEX2DEC($B$1)),HEX2DEC(BD125))),BD125)))))),HEX2DEC(IF(AND(BJ123=3,BD119=0),DEC2HEX(_xlfn.BITXOR(BIN2DEC((RIGHT(HEX2BIN(BD126,8)&amp;LEFT(HEX2BIN($A$1,8),1),8))),HEX2DEC(BD126)),2),IF(AND(BJ123=2,BD119=0),BIN2HEX(RIGHT(HEX2BIN(BD126,8)&amp;LEFT(HEX2BIN($A$1,8),1),8)),IF(AND(BJ123=2,BD119=1),DEC2HEX(_xlfn.BITXOR(BIN2DEC(RIGHT(HEX2BIN(BD126,8)&amp;LEFT(HEX2BIN($A$1,8),1),8)),HEX2DEC($B$1))),IF(AND(BJ123=3,BD119=1),DEC2HEX(_xlfn.BITXOR(_xlfn.BITXOR(BIN2DEC(RIGHT(HEX2BIN(BD126,8)&amp;LEFT(HEX2BIN($A$1,8),1),8)),HEX2DEC($B$1)),HEX2DEC(BD126))),BD126)))))))</f>
        <v>67</v>
      </c>
      <c r="BO123" s="44" t="str">
        <f>DEC2HEX(_xlfn.BITXOR(_xlfn.BITXOR(_xlfn.BITXOR(HEX2DEC(IF(AND(BG123=3,BE116=0),DEC2HEX(_xlfn.BITXOR(BIN2DEC((RIGHT(HEX2BIN(BE123,8)&amp;LEFT(HEX2BIN($A$1,8),1),8))),HEX2DEC(BE123)),2),IF(AND(BG123=2,BE116=0),BIN2HEX(RIGHT(HEX2BIN(BE123,8)&amp;LEFT(HEX2BIN($A$1,8),1),8)),IF(AND(BG123=2,BE116=1),DEC2HEX(_xlfn.BITXOR(BIN2DEC(RIGHT(HEX2BIN(BE123,8)&amp;LEFT(HEX2BIN($A$1,8),1),8)),HEX2DEC($B$1))),IF(AND(BG123=3,BE116=1),DEC2HEX(_xlfn.BITXOR(_xlfn.BITXOR(BIN2DEC(RIGHT(HEX2BIN(BE123,8)&amp;LEFT(HEX2BIN($A$1,8),1),8)),HEX2DEC($B$1)),HEX2DEC(BE123))),BE123))))),HEX2DEC(IF(AND(BH123=3,BE117=0),DEC2HEX(_xlfn.BITXOR(BIN2DEC((RIGHT(HEX2BIN(BE124,8)&amp;LEFT(HEX2BIN($A$1,8),1),8))),HEX2DEC(BE124)),2),IF(AND(BH123=2,BE117=0),BIN2HEX(RIGHT(HEX2BIN(BE124,8)&amp;LEFT(HEX2BIN($A$1,8),1),8)),IF(AND(BH123=2,BE117=1),DEC2HEX(_xlfn.BITXOR(BIN2DEC(RIGHT(HEX2BIN(BE124,8)&amp;LEFT(HEX2BIN($A$1,8),1),8)),HEX2DEC($B$1))),IF(AND(BH123=3,BE117=1),DEC2HEX(_xlfn.BITXOR(_xlfn.BITXOR(BIN2DEC(RIGHT(HEX2BIN(BE124,8)&amp;LEFT(HEX2BIN($A$1,8),1),8)),HEX2DEC($B$1)),HEX2DEC(BE124))),BE124)))))),HEX2DEC(IF(AND(BI123=3,BE118=0),DEC2HEX(_xlfn.BITXOR(BIN2DEC((RIGHT(HEX2BIN(BE125,8)&amp;LEFT(HEX2BIN($A$1,8),1),8))),HEX2DEC(BE125)),2),IF(AND(BI123=2,BE118=0),BIN2HEX(RIGHT(HEX2BIN(BE125,8)&amp;LEFT(HEX2BIN($A$1,8),1),8)),IF(AND(BI123=2,BE118=1),DEC2HEX(_xlfn.BITXOR(BIN2DEC(RIGHT(HEX2BIN(BE125,8)&amp;LEFT(HEX2BIN($A$1,8),1),8)),HEX2DEC($B$1))),IF(AND(BI123=3,BE118=1),DEC2HEX(_xlfn.BITXOR(_xlfn.BITXOR(BIN2DEC(RIGHT(HEX2BIN(BE125,8)&amp;LEFT(HEX2BIN($A$1,8),1),8)),HEX2DEC($B$1)),HEX2DEC(BE125))),BE125)))))),HEX2DEC(IF(AND(BJ123=3,BE119=0),DEC2HEX(_xlfn.BITXOR(BIN2DEC((RIGHT(HEX2BIN(BE126,8)&amp;LEFT(HEX2BIN($A$1,8),1),8))),HEX2DEC(BE126)),2),IF(AND(BJ123=2,BE119=0),BIN2HEX(RIGHT(HEX2BIN(BE126,8)&amp;LEFT(HEX2BIN($A$1,8),1),8)),IF(AND(BJ123=2,BE119=1),DEC2HEX(_xlfn.BITXOR(BIN2DEC(RIGHT(HEX2BIN(BE126,8)&amp;LEFT(HEX2BIN($A$1,8),1),8)),HEX2DEC($B$1))),IF(AND(BJ123=3,BE119=1),DEC2HEX(_xlfn.BITXOR(_xlfn.BITXOR(BIN2DEC(RIGHT(HEX2BIN(BE126,8)&amp;LEFT(HEX2BIN($A$1,8),1),8)),HEX2DEC($B$1)),HEX2DEC(BE126))),BE126)))))))</f>
        <v>F0</v>
      </c>
      <c r="BS123" s="45" t="s">
        <v>108</v>
      </c>
      <c r="BT123" s="45">
        <v>32</v>
      </c>
      <c r="BU123" s="45" t="s">
        <v>125</v>
      </c>
      <c r="BV123" s="45">
        <v>52</v>
      </c>
    </row>
    <row r="124" spans="2:74" x14ac:dyDescent="0.25">
      <c r="B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H124" s="14" t="str">
        <f t="shared" ref="AH124:AH126" si="109">V4</f>
        <v>D6</v>
      </c>
      <c r="AI124" s="14" t="str">
        <f t="shared" ref="AI124:AI125" si="110">Y4</f>
        <v>55</v>
      </c>
      <c r="AJ124" s="14" t="str">
        <f t="shared" ref="AJ124:AJ126" si="111">AB4</f>
        <v>F2</v>
      </c>
      <c r="AK124" s="14" t="str">
        <f t="shared" ref="AK124:AK126" si="112">AE4</f>
        <v>D0</v>
      </c>
      <c r="AM124" s="35" t="str">
        <f t="shared" si="104"/>
        <v>4A</v>
      </c>
      <c r="AN124" s="35" t="str">
        <f t="shared" si="104"/>
        <v>23</v>
      </c>
      <c r="AO124" s="35" t="str">
        <f t="shared" si="104"/>
        <v>B1</v>
      </c>
      <c r="AP124" s="35" t="str">
        <f t="shared" si="104"/>
        <v>99</v>
      </c>
      <c r="AR124" s="35" t="str">
        <f t="shared" ref="AR124:AR126" si="113">DEC2HEX(_xlfn.BITXOR(HEX2DEC(AH124),HEX2DEC(AM124)))</f>
        <v>9C</v>
      </c>
      <c r="AS124" s="35" t="str">
        <f t="shared" si="105"/>
        <v>76</v>
      </c>
      <c r="AT124" s="35" t="str">
        <f t="shared" si="105"/>
        <v>43</v>
      </c>
      <c r="AU124" s="35" t="str">
        <f t="shared" si="105"/>
        <v>49</v>
      </c>
      <c r="AW124" s="1" t="s">
        <v>196</v>
      </c>
      <c r="AX124" s="1">
        <v>38</v>
      </c>
      <c r="AY124" s="1" t="s">
        <v>269</v>
      </c>
      <c r="AZ124" s="1" t="s">
        <v>157</v>
      </c>
      <c r="BB124" s="10">
        <f>AX124</f>
        <v>38</v>
      </c>
      <c r="BC124" s="10" t="str">
        <f t="shared" ref="BC124" si="114">AY124</f>
        <v>1A</v>
      </c>
      <c r="BD124" s="10" t="str">
        <f t="shared" ref="BD124" si="115">AZ124</f>
        <v>3B</v>
      </c>
      <c r="BE124" s="29" t="str">
        <f>AW124</f>
        <v>DE</v>
      </c>
      <c r="BF124" s="10"/>
      <c r="BG124" s="34">
        <v>1</v>
      </c>
      <c r="BH124" s="34">
        <v>2</v>
      </c>
      <c r="BI124" s="34">
        <v>3</v>
      </c>
      <c r="BJ124" s="34">
        <v>1</v>
      </c>
      <c r="BK124" s="10"/>
      <c r="BL124" s="44" t="str">
        <f>DEC2HEX(_xlfn.BITXOR(_xlfn.BITXOR(_xlfn.BITXOR(HEX2DEC(IF(AND(BG124=3,BB116=0),DEC2HEX(_xlfn.BITXOR(BIN2DEC((RIGHT(HEX2BIN(BB123,8)&amp;LEFT(HEX2BIN($A$1,8),1),8))),HEX2DEC(BB123)),2),IF(AND(BG124=2,BB116=0),BIN2HEX(RIGHT(HEX2BIN(BB123,8)&amp;LEFT(HEX2BIN($A$1,8),1),8)),IF(AND(BG124=2,BB116=1),DEC2HEX(_xlfn.BITXOR(BIN2DEC(RIGHT(HEX2BIN(BB123,8)&amp;LEFT(HEX2BIN($A$1,8),1),8)),HEX2DEC($B$1))),IF(AND(BG124=3,BB116=1),DEC2HEX(_xlfn.BITXOR(_xlfn.BITXOR(BIN2DEC(RIGHT(HEX2BIN(BB123,8)&amp;LEFT(HEX2BIN($A$1,8),1),8)),HEX2DEC($B$1)),HEX2DEC(BB123))),BB123))))),HEX2DEC(IF(AND(BH124=3,BB117=0),DEC2HEX(_xlfn.BITXOR(BIN2DEC((RIGHT(HEX2BIN(BB124,8)&amp;LEFT(HEX2BIN($A$1,8),1),8))),HEX2DEC(BB124)),2),IF(AND(BH124=2,BB117=0),BIN2HEX(RIGHT(HEX2BIN(BB124,8)&amp;LEFT(HEX2BIN($A$1,8),1),8)),IF(AND(BH124=2,BB117=1),DEC2HEX(_xlfn.BITXOR(BIN2DEC(RIGHT(HEX2BIN(BB124,8)&amp;LEFT(HEX2BIN($A$1,8),1),8)),HEX2DEC($B$1))),IF(AND(BH124=3,BB117=1),DEC2HEX(_xlfn.BITXOR(_xlfn.BITXOR(BIN2DEC(RIGHT(HEX2BIN(BB124,8)&amp;LEFT(HEX2BIN($A$1,8),1),8)),HEX2DEC($B$1)),HEX2DEC(BB124))),BB124)))))),HEX2DEC(IF(AND(BI124=3,BB118=0),DEC2HEX(_xlfn.BITXOR(BIN2DEC((RIGHT(HEX2BIN(BB125,8)&amp;LEFT(HEX2BIN($A$1,8),1),8))),HEX2DEC(BB125)),2),IF(AND(BI124=2,BB118=0),BIN2HEX(RIGHT(HEX2BIN(BB125,8)&amp;LEFT(HEX2BIN($A$1,8),1),8)),IF(AND(BI124=2,BB118=1),DEC2HEX(_xlfn.BITXOR(BIN2DEC(RIGHT(HEX2BIN(BB125,8)&amp;LEFT(HEX2BIN($A$1,8),1),8)),HEX2DEC($B$1))),IF(AND(BI124=3,BB118=1),DEC2HEX(_xlfn.BITXOR(_xlfn.BITXOR(BIN2DEC(RIGHT(HEX2BIN(BB125,8)&amp;LEFT(HEX2BIN($A$1,8),1),8)),HEX2DEC($B$1)),HEX2DEC(BB125))),BB125)))))),HEX2DEC(IF(AND(BJ124=3,BB119=0),DEC2HEX(_xlfn.BITXOR(BIN2DEC((RIGHT(HEX2BIN(BB126,8)&amp;LEFT(HEX2BIN($A$1,8),1),8))),HEX2DEC(BB126)),2),IF(AND(BJ124=2,BB119=0),BIN2HEX(RIGHT(HEX2BIN(BB126,8)&amp;LEFT(HEX2BIN($A$1,8),1),8)),IF(AND(BJ124=2,BB119=1),DEC2HEX(_xlfn.BITXOR(BIN2DEC(RIGHT(HEX2BIN(BB126,8)&amp;LEFT(HEX2BIN($A$1,8),1),8)),HEX2DEC($B$1))),IF(AND(BJ124=3,BB119=1),DEC2HEX(_xlfn.BITXOR(_xlfn.BITXOR(BIN2DEC(RIGHT(HEX2BIN(BB126,8)&amp;LEFT(HEX2BIN($A$1,8),1),8)),HEX2DEC($B$1)),HEX2DEC(BB126))),BB126)))))))</f>
        <v>E8</v>
      </c>
      <c r="BM124" s="44" t="str">
        <f>DEC2HEX(_xlfn.BITXOR(_xlfn.BITXOR(_xlfn.BITXOR(HEX2DEC(IF(AND(BG124=3,BC116=0),DEC2HEX(_xlfn.BITXOR(BIN2DEC((RIGHT(HEX2BIN(BC123,8)&amp;LEFT(HEX2BIN($A$1,8),1),8))),HEX2DEC(BC123)),2),IF(AND(BG124=2,BC116=0),BIN2HEX(RIGHT(HEX2BIN(BC123,8)&amp;LEFT(HEX2BIN($A$1,8),1),8)),IF(AND(BG124=2,BC116=1),DEC2HEX(_xlfn.BITXOR(BIN2DEC(RIGHT(HEX2BIN(BC123,8)&amp;LEFT(HEX2BIN($A$1,8),1),8)),HEX2DEC($B$1))),IF(AND(BG124=3,BC116=1),DEC2HEX(_xlfn.BITXOR(_xlfn.BITXOR(BIN2DEC(RIGHT(HEX2BIN(BC123,8)&amp;LEFT(HEX2BIN($A$1,8),1),8)),HEX2DEC($B$1)),HEX2DEC(BC123))),BC123))))),HEX2DEC(IF(AND(BH124=3,BC117=0),DEC2HEX(_xlfn.BITXOR(BIN2DEC((RIGHT(HEX2BIN(BC124,8)&amp;LEFT(HEX2BIN($A$1,8),1),8))),HEX2DEC(BC124)),2),IF(AND(BH124=2,BC117=0),BIN2HEX(RIGHT(HEX2BIN(BC124,8)&amp;LEFT(HEX2BIN($A$1,8),1),8)),IF(AND(BH124=2,BC117=1),DEC2HEX(_xlfn.BITXOR(BIN2DEC(RIGHT(HEX2BIN(BC124,8)&amp;LEFT(HEX2BIN($A$1,8),1),8)),HEX2DEC($B$1))),IF(AND(BH124=3,BC117=1),DEC2HEX(_xlfn.BITXOR(_xlfn.BITXOR(BIN2DEC(RIGHT(HEX2BIN(BC124,8)&amp;LEFT(HEX2BIN($A$1,8),1),8)),HEX2DEC($B$1)),HEX2DEC(BC124))),BC124)))))),HEX2DEC(IF(AND(BI124=3,BC118=0),DEC2HEX(_xlfn.BITXOR(BIN2DEC((RIGHT(HEX2BIN(BC125,8)&amp;LEFT(HEX2BIN($A$1,8),1),8))),HEX2DEC(BC125)),2),IF(AND(BI124=2,BC118=0),BIN2HEX(RIGHT(HEX2BIN(BC125,8)&amp;LEFT(HEX2BIN($A$1,8),1),8)),IF(AND(BI124=2,BC118=1),DEC2HEX(_xlfn.BITXOR(BIN2DEC(RIGHT(HEX2BIN(BC125,8)&amp;LEFT(HEX2BIN($A$1,8),1),8)),HEX2DEC($B$1))),IF(AND(BI124=3,BC118=1),DEC2HEX(_xlfn.BITXOR(_xlfn.BITXOR(BIN2DEC(RIGHT(HEX2BIN(BC125,8)&amp;LEFT(HEX2BIN($A$1,8),1),8)),HEX2DEC($B$1)),HEX2DEC(BC125))),BC125)))))),HEX2DEC(IF(AND(BJ124=3,BC119=0),DEC2HEX(_xlfn.BITXOR(BIN2DEC((RIGHT(HEX2BIN(BC126,8)&amp;LEFT(HEX2BIN($A$1,8),1),8))),HEX2DEC(BC126)),2),IF(AND(BJ124=2,BC119=0),BIN2HEX(RIGHT(HEX2BIN(BC126,8)&amp;LEFT(HEX2BIN($A$1,8),1),8)),IF(AND(BJ124=2,BC119=1),DEC2HEX(_xlfn.BITXOR(BIN2DEC(RIGHT(HEX2BIN(BC126,8)&amp;LEFT(HEX2BIN($A$1,8),1),8)),HEX2DEC($B$1))),IF(AND(BJ124=3,BC119=1),DEC2HEX(_xlfn.BITXOR(_xlfn.BITXOR(BIN2DEC(RIGHT(HEX2BIN(BC126,8)&amp;LEFT(HEX2BIN($A$1,8),1),8)),HEX2DEC($B$1)),HEX2DEC(BC126))),BC126)))))))</f>
        <v>E1</v>
      </c>
      <c r="BN124" s="44" t="str">
        <f>DEC2HEX(_xlfn.BITXOR(_xlfn.BITXOR(_xlfn.BITXOR(HEX2DEC(IF(AND(BG124=3,BD116=0),DEC2HEX(_xlfn.BITXOR(BIN2DEC((RIGHT(HEX2BIN(BD123,8)&amp;LEFT(HEX2BIN($A$1,8),1),8))),HEX2DEC(BD123)),2),IF(AND(BG124=2,BD116=0),BIN2HEX(RIGHT(HEX2BIN(BD123,8)&amp;LEFT(HEX2BIN($A$1,8),1),8)),IF(AND(BG124=2,BD116=1),DEC2HEX(_xlfn.BITXOR(BIN2DEC(RIGHT(HEX2BIN(BD123,8)&amp;LEFT(HEX2BIN($A$1,8),1),8)),HEX2DEC($B$1))),IF(AND(BG124=3,BD116=1),DEC2HEX(_xlfn.BITXOR(_xlfn.BITXOR(BIN2DEC(RIGHT(HEX2BIN(BD123,8)&amp;LEFT(HEX2BIN($A$1,8),1),8)),HEX2DEC($B$1)),HEX2DEC(BD123))),BD123))))),HEX2DEC(IF(AND(BH124=3,BD117=0),DEC2HEX(_xlfn.BITXOR(BIN2DEC((RIGHT(HEX2BIN(BD124,8)&amp;LEFT(HEX2BIN($A$1,8),1),8))),HEX2DEC(BD124)),2),IF(AND(BH124=2,BD117=0),BIN2HEX(RIGHT(HEX2BIN(BD124,8)&amp;LEFT(HEX2BIN($A$1,8),1),8)),IF(AND(BH124=2,BD117=1),DEC2HEX(_xlfn.BITXOR(BIN2DEC(RIGHT(HEX2BIN(BD124,8)&amp;LEFT(HEX2BIN($A$1,8),1),8)),HEX2DEC($B$1))),IF(AND(BH124=3,BD117=1),DEC2HEX(_xlfn.BITXOR(_xlfn.BITXOR(BIN2DEC(RIGHT(HEX2BIN(BD124,8)&amp;LEFT(HEX2BIN($A$1,8),1),8)),HEX2DEC($B$1)),HEX2DEC(BD124))),BD124)))))),HEX2DEC(IF(AND(BI124=3,BD118=0),DEC2HEX(_xlfn.BITXOR(BIN2DEC((RIGHT(HEX2BIN(BD125,8)&amp;LEFT(HEX2BIN($A$1,8),1),8))),HEX2DEC(BD125)),2),IF(AND(BI124=2,BD118=0),BIN2HEX(RIGHT(HEX2BIN(BD125,8)&amp;LEFT(HEX2BIN($A$1,8),1),8)),IF(AND(BI124=2,BD118=1),DEC2HEX(_xlfn.BITXOR(BIN2DEC(RIGHT(HEX2BIN(BD125,8)&amp;LEFT(HEX2BIN($A$1,8),1),8)),HEX2DEC($B$1))),IF(AND(BI124=3,BD118=1),DEC2HEX(_xlfn.BITXOR(_xlfn.BITXOR(BIN2DEC(RIGHT(HEX2BIN(BD125,8)&amp;LEFT(HEX2BIN($A$1,8),1),8)),HEX2DEC($B$1)),HEX2DEC(BD125))),BD125)))))),HEX2DEC(IF(AND(BJ124=3,BD119=0),DEC2HEX(_xlfn.BITXOR(BIN2DEC((RIGHT(HEX2BIN(BD126,8)&amp;LEFT(HEX2BIN($A$1,8),1),8))),HEX2DEC(BD126)),2),IF(AND(BJ124=2,BD119=0),BIN2HEX(RIGHT(HEX2BIN(BD126,8)&amp;LEFT(HEX2BIN($A$1,8),1),8)),IF(AND(BJ124=2,BD119=1),DEC2HEX(_xlfn.BITXOR(BIN2DEC(RIGHT(HEX2BIN(BD126,8)&amp;LEFT(HEX2BIN($A$1,8),1),8)),HEX2DEC($B$1))),IF(AND(BJ124=3,BD119=1),DEC2HEX(_xlfn.BITXOR(_xlfn.BITXOR(BIN2DEC(RIGHT(HEX2BIN(BD126,8)&amp;LEFT(HEX2BIN($A$1,8),1),8)),HEX2DEC($B$1)),HEX2DEC(BD126))),BD126)))))))</f>
        <v>8</v>
      </c>
      <c r="BO124" s="44" t="str">
        <f>DEC2HEX(_xlfn.BITXOR(_xlfn.BITXOR(_xlfn.BITXOR(HEX2DEC(IF(AND(BG124=3,BE116=0),DEC2HEX(_xlfn.BITXOR(BIN2DEC((RIGHT(HEX2BIN(BE123,8)&amp;LEFT(HEX2BIN($A$1,8),1),8))),HEX2DEC(BE123)),2),IF(AND(BG124=2,BE116=0),BIN2HEX(RIGHT(HEX2BIN(BE123,8)&amp;LEFT(HEX2BIN($A$1,8),1),8)),IF(AND(BG124=2,BE116=1),DEC2HEX(_xlfn.BITXOR(BIN2DEC(RIGHT(HEX2BIN(BE123,8)&amp;LEFT(HEX2BIN($A$1,8),1),8)),HEX2DEC($B$1))),IF(AND(BG124=3,BE116=1),DEC2HEX(_xlfn.BITXOR(_xlfn.BITXOR(BIN2DEC(RIGHT(HEX2BIN(BE123,8)&amp;LEFT(HEX2BIN($A$1,8),1),8)),HEX2DEC($B$1)),HEX2DEC(BE123))),BE123))))),HEX2DEC(IF(AND(BH124=3,BE117=0),DEC2HEX(_xlfn.BITXOR(BIN2DEC((RIGHT(HEX2BIN(BE124,8)&amp;LEFT(HEX2BIN($A$1,8),1),8))),HEX2DEC(BE124)),2),IF(AND(BH124=2,BE117=0),BIN2HEX(RIGHT(HEX2BIN(BE124,8)&amp;LEFT(HEX2BIN($A$1,8),1),8)),IF(AND(BH124=2,BE117=1),DEC2HEX(_xlfn.BITXOR(BIN2DEC(RIGHT(HEX2BIN(BE124,8)&amp;LEFT(HEX2BIN($A$1,8),1),8)),HEX2DEC($B$1))),IF(AND(BH124=3,BE117=1),DEC2HEX(_xlfn.BITXOR(_xlfn.BITXOR(BIN2DEC(RIGHT(HEX2BIN(BE124,8)&amp;LEFT(HEX2BIN($A$1,8),1),8)),HEX2DEC($B$1)),HEX2DEC(BE124))),BE124)))))),HEX2DEC(IF(AND(BI124=3,BE118=0),DEC2HEX(_xlfn.BITXOR(BIN2DEC((RIGHT(HEX2BIN(BE125,8)&amp;LEFT(HEX2BIN($A$1,8),1),8))),HEX2DEC(BE125)),2),IF(AND(BI124=2,BE118=0),BIN2HEX(RIGHT(HEX2BIN(BE125,8)&amp;LEFT(HEX2BIN($A$1,8),1),8)),IF(AND(BI124=2,BE118=1),DEC2HEX(_xlfn.BITXOR(BIN2DEC(RIGHT(HEX2BIN(BE125,8)&amp;LEFT(HEX2BIN($A$1,8),1),8)),HEX2DEC($B$1))),IF(AND(BI124=3,BE118=1),DEC2HEX(_xlfn.BITXOR(_xlfn.BITXOR(BIN2DEC(RIGHT(HEX2BIN(BE125,8)&amp;LEFT(HEX2BIN($A$1,8),1),8)),HEX2DEC($B$1)),HEX2DEC(BE125))),BE125)))))),HEX2DEC(IF(AND(BJ124=3,BE119=0),DEC2HEX(_xlfn.BITXOR(BIN2DEC((RIGHT(HEX2BIN(BE126,8)&amp;LEFT(HEX2BIN($A$1,8),1),8))),HEX2DEC(BE126)),2),IF(AND(BJ124=2,BE119=0),BIN2HEX(RIGHT(HEX2BIN(BE126,8)&amp;LEFT(HEX2BIN($A$1,8),1),8)),IF(AND(BJ124=2,BE119=1),DEC2HEX(_xlfn.BITXOR(BIN2DEC(RIGHT(HEX2BIN(BE126,8)&amp;LEFT(HEX2BIN($A$1,8),1),8)),HEX2DEC($B$1))),IF(AND(BJ124=3,BE119=1),DEC2HEX(_xlfn.BITXOR(_xlfn.BITXOR(BIN2DEC(RIGHT(HEX2BIN(BE126,8)&amp;LEFT(HEX2BIN($A$1,8),1),8)),HEX2DEC($B$1)),HEX2DEC(BE126))),BE126)))))))</f>
        <v>6D</v>
      </c>
      <c r="BS124" s="45" t="s">
        <v>78</v>
      </c>
      <c r="BT124" s="45">
        <v>89</v>
      </c>
      <c r="BU124" s="45" t="s">
        <v>147</v>
      </c>
      <c r="BV124" s="45" t="s">
        <v>202</v>
      </c>
    </row>
    <row r="125" spans="2:74" x14ac:dyDescent="0.25">
      <c r="B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H125" s="14" t="str">
        <f t="shared" si="109"/>
        <v>36</v>
      </c>
      <c r="AI125" s="14" t="str">
        <f t="shared" si="110"/>
        <v>DB</v>
      </c>
      <c r="AJ125" s="14" t="str">
        <f t="shared" si="111"/>
        <v>FC</v>
      </c>
      <c r="AK125" s="14" t="str">
        <f t="shared" si="112"/>
        <v>FE</v>
      </c>
      <c r="AM125" s="35" t="str">
        <f t="shared" si="104"/>
        <v>CA</v>
      </c>
      <c r="AN125" s="35" t="str">
        <f t="shared" si="104"/>
        <v>9F</v>
      </c>
      <c r="AO125" s="35" t="str">
        <f t="shared" si="104"/>
        <v>69</v>
      </c>
      <c r="AP125" s="35" t="str">
        <f t="shared" si="104"/>
        <v>DC</v>
      </c>
      <c r="AR125" s="35" t="str">
        <f t="shared" si="113"/>
        <v>FC</v>
      </c>
      <c r="AS125" s="35" t="str">
        <f t="shared" si="105"/>
        <v>44</v>
      </c>
      <c r="AT125" s="35" t="str">
        <f t="shared" si="105"/>
        <v>95</v>
      </c>
      <c r="AU125" s="35" t="str">
        <f t="shared" si="105"/>
        <v>22</v>
      </c>
      <c r="AW125" s="1" t="s">
        <v>141</v>
      </c>
      <c r="AX125" s="1" t="s">
        <v>79</v>
      </c>
      <c r="AY125" s="1" t="s">
        <v>173</v>
      </c>
      <c r="AZ125" s="1">
        <v>93</v>
      </c>
      <c r="BB125" s="10" t="str">
        <f>AY125</f>
        <v>2A</v>
      </c>
      <c r="BC125" s="10">
        <f>AZ125</f>
        <v>93</v>
      </c>
      <c r="BD125" s="10" t="str">
        <f>AW125</f>
        <v>B0</v>
      </c>
      <c r="BE125" s="29" t="str">
        <f>AX125</f>
        <v>1B</v>
      </c>
      <c r="BF125" s="10"/>
      <c r="BG125" s="34">
        <v>1</v>
      </c>
      <c r="BH125" s="34">
        <v>1</v>
      </c>
      <c r="BI125" s="34">
        <v>2</v>
      </c>
      <c r="BJ125" s="34">
        <v>3</v>
      </c>
      <c r="BK125" s="10"/>
      <c r="BL125" s="44" t="str">
        <f>DEC2HEX(_xlfn.BITXOR(_xlfn.BITXOR(_xlfn.BITXOR(HEX2DEC(IF(AND(BG125=3,BB116=0),DEC2HEX(_xlfn.BITXOR(BIN2DEC((RIGHT(HEX2BIN(BB123,8)&amp;LEFT(HEX2BIN($A$1,8),1),8))),HEX2DEC(BB123)),2),IF(AND(BG125=2,BB116=0),BIN2HEX(RIGHT(HEX2BIN(BB123,8)&amp;LEFT(HEX2BIN($A$1,8),1),8)),IF(AND(BG125=2,BB116=1),DEC2HEX(_xlfn.BITXOR(BIN2DEC(RIGHT(HEX2BIN(BB123,8)&amp;LEFT(HEX2BIN($A$1,8),1),8)),HEX2DEC($B$1))),IF(AND(BG125=3,BB116=1),DEC2HEX(_xlfn.BITXOR(_xlfn.BITXOR(BIN2DEC(RIGHT(HEX2BIN(BB123,8)&amp;LEFT(HEX2BIN($A$1,8),1),8)),HEX2DEC($B$1)),HEX2DEC(BB123))),BB123))))),HEX2DEC(IF(AND(BH125=3,BB117=0),DEC2HEX(_xlfn.BITXOR(BIN2DEC((RIGHT(HEX2BIN(BB124,8)&amp;LEFT(HEX2BIN($A$1,8),1),8))),HEX2DEC(BB124)),2),IF(AND(BH125=2,BB117=0),BIN2HEX(RIGHT(HEX2BIN(BB124,8)&amp;LEFT(HEX2BIN($A$1,8),1),8)),IF(AND(BH125=2,BB117=1),DEC2HEX(_xlfn.BITXOR(BIN2DEC(RIGHT(HEX2BIN(BB124,8)&amp;LEFT(HEX2BIN($A$1,8),1),8)),HEX2DEC($B$1))),IF(AND(BH125=3,BB117=1),DEC2HEX(_xlfn.BITXOR(_xlfn.BITXOR(BIN2DEC(RIGHT(HEX2BIN(BB124,8)&amp;LEFT(HEX2BIN($A$1,8),1),8)),HEX2DEC($B$1)),HEX2DEC(BB124))),BB124)))))),HEX2DEC(IF(AND(BI125=3,BB118=0),DEC2HEX(_xlfn.BITXOR(BIN2DEC((RIGHT(HEX2BIN(BB125,8)&amp;LEFT(HEX2BIN($A$1,8),1),8))),HEX2DEC(BB125)),2),IF(AND(BI125=2,BB118=0),BIN2HEX(RIGHT(HEX2BIN(BB125,8)&amp;LEFT(HEX2BIN($A$1,8),1),8)),IF(AND(BI125=2,BB118=1),DEC2HEX(_xlfn.BITXOR(BIN2DEC(RIGHT(HEX2BIN(BB125,8)&amp;LEFT(HEX2BIN($A$1,8),1),8)),HEX2DEC($B$1))),IF(AND(BI125=3,BB118=1),DEC2HEX(_xlfn.BITXOR(_xlfn.BITXOR(BIN2DEC(RIGHT(HEX2BIN(BB125,8)&amp;LEFT(HEX2BIN($A$1,8),1),8)),HEX2DEC($B$1)),HEX2DEC(BB125))),BB125)))))),HEX2DEC(IF(AND(BJ125=3,BB119=0),DEC2HEX(_xlfn.BITXOR(BIN2DEC((RIGHT(HEX2BIN(BB126,8)&amp;LEFT(HEX2BIN($A$1,8),1),8))),HEX2DEC(BB126)),2),IF(AND(BJ125=2,BB119=0),BIN2HEX(RIGHT(HEX2BIN(BB126,8)&amp;LEFT(HEX2BIN($A$1,8),1),8)),IF(AND(BJ125=2,BB119=1),DEC2HEX(_xlfn.BITXOR(BIN2DEC(RIGHT(HEX2BIN(BB126,8)&amp;LEFT(HEX2BIN($A$1,8),1),8)),HEX2DEC($B$1))),IF(AND(BJ125=3,BB119=1),DEC2HEX(_xlfn.BITXOR(_xlfn.BITXOR(BIN2DEC(RIGHT(HEX2BIN(BB126,8)&amp;LEFT(HEX2BIN($A$1,8),1),8)),HEX2DEC($B$1)),HEX2DEC(BB126))),BB126)))))))</f>
        <v>77</v>
      </c>
      <c r="BM125" s="44" t="str">
        <f>DEC2HEX(_xlfn.BITXOR(_xlfn.BITXOR(_xlfn.BITXOR(HEX2DEC(IF(AND(BG125=3,BC116=0),DEC2HEX(_xlfn.BITXOR(BIN2DEC((RIGHT(HEX2BIN(BC123,8)&amp;LEFT(HEX2BIN($A$1,8),1),8))),HEX2DEC(BC123)),2),IF(AND(BG125=2,BC116=0),BIN2HEX(RIGHT(HEX2BIN(BC123,8)&amp;LEFT(HEX2BIN($A$1,8),1),8)),IF(AND(BG125=2,BC116=1),DEC2HEX(_xlfn.BITXOR(BIN2DEC(RIGHT(HEX2BIN(BC123,8)&amp;LEFT(HEX2BIN($A$1,8),1),8)),HEX2DEC($B$1))),IF(AND(BG125=3,BC116=1),DEC2HEX(_xlfn.BITXOR(_xlfn.BITXOR(BIN2DEC(RIGHT(HEX2BIN(BC123,8)&amp;LEFT(HEX2BIN($A$1,8),1),8)),HEX2DEC($B$1)),HEX2DEC(BC123))),BC123))))),HEX2DEC(IF(AND(BH125=3,BC117=0),DEC2HEX(_xlfn.BITXOR(BIN2DEC((RIGHT(HEX2BIN(BC124,8)&amp;LEFT(HEX2BIN($A$1,8),1),8))),HEX2DEC(BC124)),2),IF(AND(BH125=2,BC117=0),BIN2HEX(RIGHT(HEX2BIN(BC124,8)&amp;LEFT(HEX2BIN($A$1,8),1),8)),IF(AND(BH125=2,BC117=1),DEC2HEX(_xlfn.BITXOR(BIN2DEC(RIGHT(HEX2BIN(BC124,8)&amp;LEFT(HEX2BIN($A$1,8),1),8)),HEX2DEC($B$1))),IF(AND(BH125=3,BC117=1),DEC2HEX(_xlfn.BITXOR(_xlfn.BITXOR(BIN2DEC(RIGHT(HEX2BIN(BC124,8)&amp;LEFT(HEX2BIN($A$1,8),1),8)),HEX2DEC($B$1)),HEX2DEC(BC124))),BC124)))))),HEX2DEC(IF(AND(BI125=3,BC118=0),DEC2HEX(_xlfn.BITXOR(BIN2DEC((RIGHT(HEX2BIN(BC125,8)&amp;LEFT(HEX2BIN($A$1,8),1),8))),HEX2DEC(BC125)),2),IF(AND(BI125=2,BC118=0),BIN2HEX(RIGHT(HEX2BIN(BC125,8)&amp;LEFT(HEX2BIN($A$1,8),1),8)),IF(AND(BI125=2,BC118=1),DEC2HEX(_xlfn.BITXOR(BIN2DEC(RIGHT(HEX2BIN(BC125,8)&amp;LEFT(HEX2BIN($A$1,8),1),8)),HEX2DEC($B$1))),IF(AND(BI125=3,BC118=1),DEC2HEX(_xlfn.BITXOR(_xlfn.BITXOR(BIN2DEC(RIGHT(HEX2BIN(BC125,8)&amp;LEFT(HEX2BIN($A$1,8),1),8)),HEX2DEC($B$1)),HEX2DEC(BC125))),BC125)))))),HEX2DEC(IF(AND(BJ125=3,BC119=0),DEC2HEX(_xlfn.BITXOR(BIN2DEC((RIGHT(HEX2BIN(BC126,8)&amp;LEFT(HEX2BIN($A$1,8),1),8))),HEX2DEC(BC126)),2),IF(AND(BJ125=2,BC119=0),BIN2HEX(RIGHT(HEX2BIN(BC126,8)&amp;LEFT(HEX2BIN($A$1,8),1),8)),IF(AND(BJ125=2,BC119=1),DEC2HEX(_xlfn.BITXOR(BIN2DEC(RIGHT(HEX2BIN(BC126,8)&amp;LEFT(HEX2BIN($A$1,8),1),8)),HEX2DEC($B$1))),IF(AND(BJ125=3,BC119=1),DEC2HEX(_xlfn.BITXOR(_xlfn.BITXOR(BIN2DEC(RIGHT(HEX2BIN(BC126,8)&amp;LEFT(HEX2BIN($A$1,8),1),8)),HEX2DEC($B$1)),HEX2DEC(BC126))),BC126)))))))</f>
        <v>E9</v>
      </c>
      <c r="BN125" s="44" t="str">
        <f>DEC2HEX(_xlfn.BITXOR(_xlfn.BITXOR(_xlfn.BITXOR(HEX2DEC(IF(AND(BG125=3,BD116=0),DEC2HEX(_xlfn.BITXOR(BIN2DEC((RIGHT(HEX2BIN(BD123,8)&amp;LEFT(HEX2BIN($A$1,8),1),8))),HEX2DEC(BD123)),2),IF(AND(BG125=2,BD116=0),BIN2HEX(RIGHT(HEX2BIN(BD123,8)&amp;LEFT(HEX2BIN($A$1,8),1),8)),IF(AND(BG125=2,BD116=1),DEC2HEX(_xlfn.BITXOR(BIN2DEC(RIGHT(HEX2BIN(BD123,8)&amp;LEFT(HEX2BIN($A$1,8),1),8)),HEX2DEC($B$1))),IF(AND(BG125=3,BD116=1),DEC2HEX(_xlfn.BITXOR(_xlfn.BITXOR(BIN2DEC(RIGHT(HEX2BIN(BD123,8)&amp;LEFT(HEX2BIN($A$1,8),1),8)),HEX2DEC($B$1)),HEX2DEC(BD123))),BD123))))),HEX2DEC(IF(AND(BH125=3,BD117=0),DEC2HEX(_xlfn.BITXOR(BIN2DEC((RIGHT(HEX2BIN(BD124,8)&amp;LEFT(HEX2BIN($A$1,8),1),8))),HEX2DEC(BD124)),2),IF(AND(BH125=2,BD117=0),BIN2HEX(RIGHT(HEX2BIN(BD124,8)&amp;LEFT(HEX2BIN($A$1,8),1),8)),IF(AND(BH125=2,BD117=1),DEC2HEX(_xlfn.BITXOR(BIN2DEC(RIGHT(HEX2BIN(BD124,8)&amp;LEFT(HEX2BIN($A$1,8),1),8)),HEX2DEC($B$1))),IF(AND(BH125=3,BD117=1),DEC2HEX(_xlfn.BITXOR(_xlfn.BITXOR(BIN2DEC(RIGHT(HEX2BIN(BD124,8)&amp;LEFT(HEX2BIN($A$1,8),1),8)),HEX2DEC($B$1)),HEX2DEC(BD124))),BD124)))))),HEX2DEC(IF(AND(BI125=3,BD118=0),DEC2HEX(_xlfn.BITXOR(BIN2DEC((RIGHT(HEX2BIN(BD125,8)&amp;LEFT(HEX2BIN($A$1,8),1),8))),HEX2DEC(BD125)),2),IF(AND(BI125=2,BD118=0),BIN2HEX(RIGHT(HEX2BIN(BD125,8)&amp;LEFT(HEX2BIN($A$1,8),1),8)),IF(AND(BI125=2,BD118=1),DEC2HEX(_xlfn.BITXOR(BIN2DEC(RIGHT(HEX2BIN(BD125,8)&amp;LEFT(HEX2BIN($A$1,8),1),8)),HEX2DEC($B$1))),IF(AND(BI125=3,BD118=1),DEC2HEX(_xlfn.BITXOR(_xlfn.BITXOR(BIN2DEC(RIGHT(HEX2BIN(BD125,8)&amp;LEFT(HEX2BIN($A$1,8),1),8)),HEX2DEC($B$1)),HEX2DEC(BD125))),BD125)))))),HEX2DEC(IF(AND(BJ125=3,BD119=0),DEC2HEX(_xlfn.BITXOR(BIN2DEC((RIGHT(HEX2BIN(BD126,8)&amp;LEFT(HEX2BIN($A$1,8),1),8))),HEX2DEC(BD126)),2),IF(AND(BJ125=2,BD119=0),BIN2HEX(RIGHT(HEX2BIN(BD126,8)&amp;LEFT(HEX2BIN($A$1,8),1),8)),IF(AND(BJ125=2,BD119=1),DEC2HEX(_xlfn.BITXOR(BIN2DEC(RIGHT(HEX2BIN(BD126,8)&amp;LEFT(HEX2BIN($A$1,8),1),8)),HEX2DEC($B$1))),IF(AND(BJ125=3,BD119=1),DEC2HEX(_xlfn.BITXOR(_xlfn.BITXOR(BIN2DEC(RIGHT(HEX2BIN(BD126,8)&amp;LEFT(HEX2BIN($A$1,8),1),8)),HEX2DEC($B$1)),HEX2DEC(BD126))),BD126)))))))</f>
        <v>47</v>
      </c>
      <c r="BO125" s="44" t="str">
        <f>DEC2HEX(_xlfn.BITXOR(_xlfn.BITXOR(_xlfn.BITXOR(HEX2DEC(IF(AND(BG125=3,BE116=0),DEC2HEX(_xlfn.BITXOR(BIN2DEC((RIGHT(HEX2BIN(BE123,8)&amp;LEFT(HEX2BIN($A$1,8),1),8))),HEX2DEC(BE123)),2),IF(AND(BG125=2,BE116=0),BIN2HEX(RIGHT(HEX2BIN(BE123,8)&amp;LEFT(HEX2BIN($A$1,8),1),8)),IF(AND(BG125=2,BE116=1),DEC2HEX(_xlfn.BITXOR(BIN2DEC(RIGHT(HEX2BIN(BE123,8)&amp;LEFT(HEX2BIN($A$1,8),1),8)),HEX2DEC($B$1))),IF(AND(BG125=3,BE116=1),DEC2HEX(_xlfn.BITXOR(_xlfn.BITXOR(BIN2DEC(RIGHT(HEX2BIN(BE123,8)&amp;LEFT(HEX2BIN($A$1,8),1),8)),HEX2DEC($B$1)),HEX2DEC(BE123))),BE123))))),HEX2DEC(IF(AND(BH125=3,BE117=0),DEC2HEX(_xlfn.BITXOR(BIN2DEC((RIGHT(HEX2BIN(BE124,8)&amp;LEFT(HEX2BIN($A$1,8),1),8))),HEX2DEC(BE124)),2),IF(AND(BH125=2,BE117=0),BIN2HEX(RIGHT(HEX2BIN(BE124,8)&amp;LEFT(HEX2BIN($A$1,8),1),8)),IF(AND(BH125=2,BE117=1),DEC2HEX(_xlfn.BITXOR(BIN2DEC(RIGHT(HEX2BIN(BE124,8)&amp;LEFT(HEX2BIN($A$1,8),1),8)),HEX2DEC($B$1))),IF(AND(BH125=3,BE117=1),DEC2HEX(_xlfn.BITXOR(_xlfn.BITXOR(BIN2DEC(RIGHT(HEX2BIN(BE124,8)&amp;LEFT(HEX2BIN($A$1,8),1),8)),HEX2DEC($B$1)),HEX2DEC(BE124))),BE124)))))),HEX2DEC(IF(AND(BI125=3,BE118=0),DEC2HEX(_xlfn.BITXOR(BIN2DEC((RIGHT(HEX2BIN(BE125,8)&amp;LEFT(HEX2BIN($A$1,8),1),8))),HEX2DEC(BE125)),2),IF(AND(BI125=2,BE118=0),BIN2HEX(RIGHT(HEX2BIN(BE125,8)&amp;LEFT(HEX2BIN($A$1,8),1),8)),IF(AND(BI125=2,BE118=1),DEC2HEX(_xlfn.BITXOR(BIN2DEC(RIGHT(HEX2BIN(BE125,8)&amp;LEFT(HEX2BIN($A$1,8),1),8)),HEX2DEC($B$1))),IF(AND(BI125=3,BE118=1),DEC2HEX(_xlfn.BITXOR(_xlfn.BITXOR(BIN2DEC(RIGHT(HEX2BIN(BE125,8)&amp;LEFT(HEX2BIN($A$1,8),1),8)),HEX2DEC($B$1)),HEX2DEC(BE125))),BE125)))))),HEX2DEC(IF(AND(BJ125=3,BE119=0),DEC2HEX(_xlfn.BITXOR(BIN2DEC((RIGHT(HEX2BIN(BE126,8)&amp;LEFT(HEX2BIN($A$1,8),1),8))),HEX2DEC(BE126)),2),IF(AND(BJ125=2,BE119=0),BIN2HEX(RIGHT(HEX2BIN(BE126,8)&amp;LEFT(HEX2BIN($A$1,8),1),8)),IF(AND(BJ125=2,BE119=1),DEC2HEX(_xlfn.BITXOR(BIN2DEC(RIGHT(HEX2BIN(BE126,8)&amp;LEFT(HEX2BIN($A$1,8),1),8)),HEX2DEC($B$1))),IF(AND(BJ125=3,BE119=1),DEC2HEX(_xlfn.BITXOR(_xlfn.BITXOR(BIN2DEC(RIGHT(HEX2BIN(BE126,8)&amp;LEFT(HEX2BIN($A$1,8),1),8)),HEX2DEC($B$1)),HEX2DEC(BE126))),BE126)))))))</f>
        <v>75</v>
      </c>
      <c r="BS125" s="45">
        <v>98</v>
      </c>
      <c r="BT125" s="45" t="s">
        <v>202</v>
      </c>
      <c r="BU125" s="45" t="s">
        <v>96</v>
      </c>
      <c r="BV125" s="45">
        <v>12</v>
      </c>
    </row>
    <row r="126" spans="2:74" x14ac:dyDescent="0.25">
      <c r="B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H126" s="14" t="str">
        <f t="shared" si="109"/>
        <v>9D</v>
      </c>
      <c r="AI126" s="14" t="str">
        <f>Y6</f>
        <v>10</v>
      </c>
      <c r="AJ126" s="14" t="str">
        <f t="shared" si="111"/>
        <v>D5</v>
      </c>
      <c r="AK126" s="14" t="str">
        <f t="shared" si="112"/>
        <v>BD</v>
      </c>
      <c r="AM126" s="35" t="str">
        <f t="shared" si="104"/>
        <v>90</v>
      </c>
      <c r="AN126" s="35" t="str">
        <f t="shared" si="104"/>
        <v>5</v>
      </c>
      <c r="AO126" s="35" t="str">
        <f t="shared" si="104"/>
        <v>5E</v>
      </c>
      <c r="AP126" s="35" t="str">
        <f t="shared" si="104"/>
        <v>C3</v>
      </c>
      <c r="AR126" s="35" t="str">
        <f t="shared" si="113"/>
        <v>D</v>
      </c>
      <c r="AS126" s="35" t="str">
        <f t="shared" si="105"/>
        <v>15</v>
      </c>
      <c r="AT126" s="35" t="str">
        <f t="shared" si="105"/>
        <v>8B</v>
      </c>
      <c r="AU126" s="35" t="str">
        <f t="shared" si="105"/>
        <v>7E</v>
      </c>
      <c r="AW126" s="1" t="s">
        <v>154</v>
      </c>
      <c r="AX126" s="1">
        <v>59</v>
      </c>
      <c r="AY126" s="1" t="s">
        <v>267</v>
      </c>
      <c r="AZ126" s="1" t="s">
        <v>150</v>
      </c>
      <c r="BB126" s="10" t="str">
        <f>AZ126</f>
        <v>F3</v>
      </c>
      <c r="BC126" s="10" t="str">
        <f>AW126</f>
        <v>D7</v>
      </c>
      <c r="BD126" s="10">
        <f t="shared" ref="BD126" si="116">AX126</f>
        <v>59</v>
      </c>
      <c r="BE126" s="30" t="str">
        <f t="shared" ref="BE126" si="117">AY126</f>
        <v>3D</v>
      </c>
      <c r="BF126" s="10"/>
      <c r="BG126" s="31">
        <v>3</v>
      </c>
      <c r="BH126" s="32">
        <v>1</v>
      </c>
      <c r="BI126" s="32">
        <v>1</v>
      </c>
      <c r="BJ126" s="33">
        <v>2</v>
      </c>
      <c r="BK126" s="10"/>
      <c r="BL126" s="44" t="str">
        <f>DEC2HEX(_xlfn.BITXOR(_xlfn.BITXOR(_xlfn.BITXOR(HEX2DEC(IF(AND(BG126=3,BB116=0),DEC2HEX(_xlfn.BITXOR(BIN2DEC((RIGHT(HEX2BIN(BB123,8)&amp;LEFT(HEX2BIN($A$1,8),1),8))),HEX2DEC(BB123)),2),IF(AND(BG126=2,BB116=0),BIN2HEX(RIGHT(HEX2BIN(BB123,8)&amp;LEFT(HEX2BIN($A$1,8),1),8)),IF(AND(BG126=2,BB116=1),DEC2HEX(_xlfn.BITXOR(BIN2DEC(RIGHT(HEX2BIN(BB123,8)&amp;LEFT(HEX2BIN($A$1,8),1),8)),HEX2DEC($B$1))),IF(AND(BG126=3,BB116=1),DEC2HEX(_xlfn.BITXOR(_xlfn.BITXOR(BIN2DEC(RIGHT(HEX2BIN(BB123,8)&amp;LEFT(HEX2BIN($A$1,8),1),8)),HEX2DEC($B$1)),HEX2DEC(BB123))),BB123))))),HEX2DEC(IF(AND(BH126=3,BB117=0),DEC2HEX(_xlfn.BITXOR(BIN2DEC((RIGHT(HEX2BIN(BB124,8)&amp;LEFT(HEX2BIN($A$1,8),1),8))),HEX2DEC(BB124)),2),IF(AND(BH126=2,BB117=0),BIN2HEX(RIGHT(HEX2BIN(BB124,8)&amp;LEFT(HEX2BIN($A$1,8),1),8)),IF(AND(BH126=2,BB117=1),DEC2HEX(_xlfn.BITXOR(BIN2DEC(RIGHT(HEX2BIN(BB124,8)&amp;LEFT(HEX2BIN($A$1,8),1),8)),HEX2DEC($B$1))),IF(AND(BH126=3,BB117=1),DEC2HEX(_xlfn.BITXOR(_xlfn.BITXOR(BIN2DEC(RIGHT(HEX2BIN(BB124,8)&amp;LEFT(HEX2BIN($A$1,8),1),8)),HEX2DEC($B$1)),HEX2DEC(BB124))),BB124)))))),HEX2DEC(IF(AND(BI126=3,BB118=0),DEC2HEX(_xlfn.BITXOR(BIN2DEC((RIGHT(HEX2BIN(BB125,8)&amp;LEFT(HEX2BIN($A$1,8),1),8))),HEX2DEC(BB125)),2),IF(AND(BI126=2,BB118=0),BIN2HEX(RIGHT(HEX2BIN(BB125,8)&amp;LEFT(HEX2BIN($A$1,8),1),8)),IF(AND(BI126=2,BB118=1),DEC2HEX(_xlfn.BITXOR(BIN2DEC(RIGHT(HEX2BIN(BB125,8)&amp;LEFT(HEX2BIN($A$1,8),1),8)),HEX2DEC($B$1))),IF(AND(BI126=3,BB118=1),DEC2HEX(_xlfn.BITXOR(_xlfn.BITXOR(BIN2DEC(RIGHT(HEX2BIN(BB125,8)&amp;LEFT(HEX2BIN($A$1,8),1),8)),HEX2DEC($B$1)),HEX2DEC(BB125))),BB125)))))),HEX2DEC(IF(AND(BJ126=3,BB119=0),DEC2HEX(_xlfn.BITXOR(BIN2DEC((RIGHT(HEX2BIN(BB126,8)&amp;LEFT(HEX2BIN($A$1,8),1),8))),HEX2DEC(BB126)),2),IF(AND(BJ126=2,BB119=0),BIN2HEX(RIGHT(HEX2BIN(BB126,8)&amp;LEFT(HEX2BIN($A$1,8),1),8)),IF(AND(BJ126=2,BB119=1),DEC2HEX(_xlfn.BITXOR(BIN2DEC(RIGHT(HEX2BIN(BB126,8)&amp;LEFT(HEX2BIN($A$1,8),1),8)),HEX2DEC($B$1))),IF(AND(BJ126=3,BB119=1),DEC2HEX(_xlfn.BITXOR(_xlfn.BITXOR(BIN2DEC(RIGHT(HEX2BIN(BB126,8)&amp;LEFT(HEX2BIN($A$1,8),1),8)),HEX2DEC($B$1)),HEX2DEC(BB126))),BB126)))))))</f>
        <v>D0</v>
      </c>
      <c r="BM126" s="44" t="str">
        <f>DEC2HEX(_xlfn.BITXOR(_xlfn.BITXOR(_xlfn.BITXOR(HEX2DEC(IF(AND(BG126=3,BC116=0),DEC2HEX(_xlfn.BITXOR(BIN2DEC((RIGHT(HEX2BIN(BC123,8)&amp;LEFT(HEX2BIN($A$1,8),1),8))),HEX2DEC(BC123)),2),IF(AND(BG126=2,BC116=0),BIN2HEX(RIGHT(HEX2BIN(BC123,8)&amp;LEFT(HEX2BIN($A$1,8),1),8)),IF(AND(BG126=2,BC116=1),DEC2HEX(_xlfn.BITXOR(BIN2DEC(RIGHT(HEX2BIN(BC123,8)&amp;LEFT(HEX2BIN($A$1,8),1),8)),HEX2DEC($B$1))),IF(AND(BG126=3,BC116=1),DEC2HEX(_xlfn.BITXOR(_xlfn.BITXOR(BIN2DEC(RIGHT(HEX2BIN(BC123,8)&amp;LEFT(HEX2BIN($A$1,8),1),8)),HEX2DEC($B$1)),HEX2DEC(BC123))),BC123))))),HEX2DEC(IF(AND(BH126=3,BC117=0),DEC2HEX(_xlfn.BITXOR(BIN2DEC((RIGHT(HEX2BIN(BC124,8)&amp;LEFT(HEX2BIN($A$1,8),1),8))),HEX2DEC(BC124)),2),IF(AND(BH126=2,BC117=0),BIN2HEX(RIGHT(HEX2BIN(BC124,8)&amp;LEFT(HEX2BIN($A$1,8),1),8)),IF(AND(BH126=2,BC117=1),DEC2HEX(_xlfn.BITXOR(BIN2DEC(RIGHT(HEX2BIN(BC124,8)&amp;LEFT(HEX2BIN($A$1,8),1),8)),HEX2DEC($B$1))),IF(AND(BH126=3,BC117=1),DEC2HEX(_xlfn.BITXOR(_xlfn.BITXOR(BIN2DEC(RIGHT(HEX2BIN(BC124,8)&amp;LEFT(HEX2BIN($A$1,8),1),8)),HEX2DEC($B$1)),HEX2DEC(BC124))),BC124)))))),HEX2DEC(IF(AND(BI126=3,BC118=0),DEC2HEX(_xlfn.BITXOR(BIN2DEC((RIGHT(HEX2BIN(BC125,8)&amp;LEFT(HEX2BIN($A$1,8),1),8))),HEX2DEC(BC125)),2),IF(AND(BI126=2,BC118=0),BIN2HEX(RIGHT(HEX2BIN(BC125,8)&amp;LEFT(HEX2BIN($A$1,8),1),8)),IF(AND(BI126=2,BC118=1),DEC2HEX(_xlfn.BITXOR(BIN2DEC(RIGHT(HEX2BIN(BC125,8)&amp;LEFT(HEX2BIN($A$1,8),1),8)),HEX2DEC($B$1))),IF(AND(BI126=3,BC118=1),DEC2HEX(_xlfn.BITXOR(_xlfn.BITXOR(BIN2DEC(RIGHT(HEX2BIN(BC125,8)&amp;LEFT(HEX2BIN($A$1,8),1),8)),HEX2DEC($B$1)),HEX2DEC(BC125))),BC125)))))),HEX2DEC(IF(AND(BJ126=3,BC119=0),DEC2HEX(_xlfn.BITXOR(BIN2DEC((RIGHT(HEX2BIN(BC126,8)&amp;LEFT(HEX2BIN($A$1,8),1),8))),HEX2DEC(BC126)),2),IF(AND(BJ126=2,BC119=0),BIN2HEX(RIGHT(HEX2BIN(BC126,8)&amp;LEFT(HEX2BIN($A$1,8),1),8)),IF(AND(BJ126=2,BC119=1),DEC2HEX(_xlfn.BITXOR(BIN2DEC(RIGHT(HEX2BIN(BC126,8)&amp;LEFT(HEX2BIN($A$1,8),1),8)),HEX2DEC($B$1))),IF(AND(BJ126=3,BC119=1),DEC2HEX(_xlfn.BITXOR(_xlfn.BITXOR(BIN2DEC(RIGHT(HEX2BIN(BC126,8)&amp;LEFT(HEX2BIN($A$1,8),1),8)),HEX2DEC($B$1)),HEX2DEC(BC126))),BC126)))))))</f>
        <v>D3</v>
      </c>
      <c r="BN126" s="44" t="str">
        <f>DEC2HEX(_xlfn.BITXOR(_xlfn.BITXOR(_xlfn.BITXOR(HEX2DEC(IF(AND(BG126=3,BD116=0),DEC2HEX(_xlfn.BITXOR(BIN2DEC((RIGHT(HEX2BIN(BD123,8)&amp;LEFT(HEX2BIN($A$1,8),1),8))),HEX2DEC(BD123)),2),IF(AND(BG126=2,BD116=0),BIN2HEX(RIGHT(HEX2BIN(BD123,8)&amp;LEFT(HEX2BIN($A$1,8),1),8)),IF(AND(BG126=2,BD116=1),DEC2HEX(_xlfn.BITXOR(BIN2DEC(RIGHT(HEX2BIN(BD123,8)&amp;LEFT(HEX2BIN($A$1,8),1),8)),HEX2DEC($B$1))),IF(AND(BG126=3,BD116=1),DEC2HEX(_xlfn.BITXOR(_xlfn.BITXOR(BIN2DEC(RIGHT(HEX2BIN(BD123,8)&amp;LEFT(HEX2BIN($A$1,8),1),8)),HEX2DEC($B$1)),HEX2DEC(BD123))),BD123))))),HEX2DEC(IF(AND(BH126=3,BD117=0),DEC2HEX(_xlfn.BITXOR(BIN2DEC((RIGHT(HEX2BIN(BD124,8)&amp;LEFT(HEX2BIN($A$1,8),1),8))),HEX2DEC(BD124)),2),IF(AND(BH126=2,BD117=0),BIN2HEX(RIGHT(HEX2BIN(BD124,8)&amp;LEFT(HEX2BIN($A$1,8),1),8)),IF(AND(BH126=2,BD117=1),DEC2HEX(_xlfn.BITXOR(BIN2DEC(RIGHT(HEX2BIN(BD124,8)&amp;LEFT(HEX2BIN($A$1,8),1),8)),HEX2DEC($B$1))),IF(AND(BH126=3,BD117=1),DEC2HEX(_xlfn.BITXOR(_xlfn.BITXOR(BIN2DEC(RIGHT(HEX2BIN(BD124,8)&amp;LEFT(HEX2BIN($A$1,8),1),8)),HEX2DEC($B$1)),HEX2DEC(BD124))),BD124)))))),HEX2DEC(IF(AND(BI126=3,BD118=0),DEC2HEX(_xlfn.BITXOR(BIN2DEC((RIGHT(HEX2BIN(BD125,8)&amp;LEFT(HEX2BIN($A$1,8),1),8))),HEX2DEC(BD125)),2),IF(AND(BI126=2,BD118=0),BIN2HEX(RIGHT(HEX2BIN(BD125,8)&amp;LEFT(HEX2BIN($A$1,8),1),8)),IF(AND(BI126=2,BD118=1),DEC2HEX(_xlfn.BITXOR(BIN2DEC(RIGHT(HEX2BIN(BD125,8)&amp;LEFT(HEX2BIN($A$1,8),1),8)),HEX2DEC($B$1))),IF(AND(BI126=3,BD118=1),DEC2HEX(_xlfn.BITXOR(_xlfn.BITXOR(BIN2DEC(RIGHT(HEX2BIN(BD125,8)&amp;LEFT(HEX2BIN($A$1,8),1),8)),HEX2DEC($B$1)),HEX2DEC(BD125))),BD125)))))),HEX2DEC(IF(AND(BJ126=3,BD119=0),DEC2HEX(_xlfn.BITXOR(BIN2DEC((RIGHT(HEX2BIN(BD126,8)&amp;LEFT(HEX2BIN($A$1,8),1),8))),HEX2DEC(BD126)),2),IF(AND(BJ126=2,BD119=0),BIN2HEX(RIGHT(HEX2BIN(BD126,8)&amp;LEFT(HEX2BIN($A$1,8),1),8)),IF(AND(BJ126=2,BD119=1),DEC2HEX(_xlfn.BITXOR(BIN2DEC(RIGHT(HEX2BIN(BD126,8)&amp;LEFT(HEX2BIN($A$1,8),1),8)),HEX2DEC($B$1))),IF(AND(BJ126=3,BD119=1),DEC2HEX(_xlfn.BITXOR(_xlfn.BITXOR(BIN2DEC(RIGHT(HEX2BIN(BD126,8)&amp;LEFT(HEX2BIN($A$1,8),1),8)),HEX2DEC($B$1)),HEX2DEC(BD126))),BD126)))))))</f>
        <v>16</v>
      </c>
      <c r="BO126" s="44" t="str">
        <f>DEC2HEX(_xlfn.BITXOR(_xlfn.BITXOR(_xlfn.BITXOR(HEX2DEC(IF(AND(BG126=3,BE116=0),DEC2HEX(_xlfn.BITXOR(BIN2DEC((RIGHT(HEX2BIN(BE123,8)&amp;LEFT(HEX2BIN($A$1,8),1),8))),HEX2DEC(BE123)),2),IF(AND(BG126=2,BE116=0),BIN2HEX(RIGHT(HEX2BIN(BE123,8)&amp;LEFT(HEX2BIN($A$1,8),1),8)),IF(AND(BG126=2,BE116=1),DEC2HEX(_xlfn.BITXOR(BIN2DEC(RIGHT(HEX2BIN(BE123,8)&amp;LEFT(HEX2BIN($A$1,8),1),8)),HEX2DEC($B$1))),IF(AND(BG126=3,BE116=1),DEC2HEX(_xlfn.BITXOR(_xlfn.BITXOR(BIN2DEC(RIGHT(HEX2BIN(BE123,8)&amp;LEFT(HEX2BIN($A$1,8),1),8)),HEX2DEC($B$1)),HEX2DEC(BE123))),BE123))))),HEX2DEC(IF(AND(BH126=3,BE117=0),DEC2HEX(_xlfn.BITXOR(BIN2DEC((RIGHT(HEX2BIN(BE124,8)&amp;LEFT(HEX2BIN($A$1,8),1),8))),HEX2DEC(BE124)),2),IF(AND(BH126=2,BE117=0),BIN2HEX(RIGHT(HEX2BIN(BE124,8)&amp;LEFT(HEX2BIN($A$1,8),1),8)),IF(AND(BH126=2,BE117=1),DEC2HEX(_xlfn.BITXOR(BIN2DEC(RIGHT(HEX2BIN(BE124,8)&amp;LEFT(HEX2BIN($A$1,8),1),8)),HEX2DEC($B$1))),IF(AND(BH126=3,BE117=1),DEC2HEX(_xlfn.BITXOR(_xlfn.BITXOR(BIN2DEC(RIGHT(HEX2BIN(BE124,8)&amp;LEFT(HEX2BIN($A$1,8),1),8)),HEX2DEC($B$1)),HEX2DEC(BE124))),BE124)))))),HEX2DEC(IF(AND(BI126=3,BE118=0),DEC2HEX(_xlfn.BITXOR(BIN2DEC((RIGHT(HEX2BIN(BE125,8)&amp;LEFT(HEX2BIN($A$1,8),1),8))),HEX2DEC(BE125)),2),IF(AND(BI126=2,BE118=0),BIN2HEX(RIGHT(HEX2BIN(BE125,8)&amp;LEFT(HEX2BIN($A$1,8),1),8)),IF(AND(BI126=2,BE118=1),DEC2HEX(_xlfn.BITXOR(BIN2DEC(RIGHT(HEX2BIN(BE125,8)&amp;LEFT(HEX2BIN($A$1,8),1),8)),HEX2DEC($B$1))),IF(AND(BI126=3,BE118=1),DEC2HEX(_xlfn.BITXOR(_xlfn.BITXOR(BIN2DEC(RIGHT(HEX2BIN(BE125,8)&amp;LEFT(HEX2BIN($A$1,8),1),8)),HEX2DEC($B$1)),HEX2DEC(BE125))),BE125)))))),HEX2DEC(IF(AND(BJ126=3,BE119=0),DEC2HEX(_xlfn.BITXOR(BIN2DEC((RIGHT(HEX2BIN(BE126,8)&amp;LEFT(HEX2BIN($A$1,8),1),8))),HEX2DEC(BE126)),2),IF(AND(BJ126=2,BE119=0),BIN2HEX(RIGHT(HEX2BIN(BE126,8)&amp;LEFT(HEX2BIN($A$1,8),1),8)),IF(AND(BJ126=2,BE119=1),DEC2HEX(_xlfn.BITXOR(BIN2DEC(RIGHT(HEX2BIN(BE126,8)&amp;LEFT(HEX2BIN($A$1,8),1),8)),HEX2DEC($B$1))),IF(AND(BJ126=3,BE119=1),DEC2HEX(_xlfn.BITXOR(_xlfn.BITXOR(BIN2DEC(RIGHT(HEX2BIN(BE126,8)&amp;LEFT(HEX2BIN($A$1,8),1),8)),HEX2DEC($B$1)),HEX2DEC(BE126))),BE126)))))))</f>
        <v>CA</v>
      </c>
      <c r="BS126" s="45">
        <v>45</v>
      </c>
      <c r="BT126" s="45">
        <v>47</v>
      </c>
      <c r="BU126" s="45" t="s">
        <v>169</v>
      </c>
      <c r="BV126" s="44" t="str">
        <f>DEC2HEX(_xlfn.BITXOR(_xlfn.BITXOR(_xlfn.BITXOR(HEX2DEC(IF(AND(BN126=3,BL116=0),DEC2HEX(_xlfn.BITXOR(BIN2DEC((RIGHT(HEX2BIN(BL123,8)&amp;LEFT(HEX2BIN($A$1,8),1),8))),HEX2DEC(BL123)),2),IF(AND(BN126=2,BL116=0),BIN2HEX(RIGHT(HEX2BIN(BL123,8)&amp;LEFT(HEX2BIN($A$1,8),1),8)),IF(AND(BN126=2,BL116=1),DEC2HEX(_xlfn.BITXOR(BIN2DEC(RIGHT(HEX2BIN(BL123,8)&amp;LEFT(HEX2BIN($A$1,8),1),8)),HEX2DEC($B$1))),IF(AND(BN126=3,BL116=1),DEC2HEX(_xlfn.BITXOR(_xlfn.BITXOR(BIN2DEC(RIGHT(HEX2BIN(BL123,8)&amp;LEFT(HEX2BIN($A$1,8),1),8)),HEX2DEC($B$1)),HEX2DEC(BL123))),BL123))))),HEX2DEC(IF(AND(BO126=3,BL117=0),DEC2HEX(_xlfn.BITXOR(BIN2DEC((RIGHT(HEX2BIN(BL124,8)&amp;LEFT(HEX2BIN($A$1,8),1),8))),HEX2DEC(BL124)),2),IF(AND(BO126=2,BL117=0),BIN2HEX(RIGHT(HEX2BIN(BL124,8)&amp;LEFT(HEX2BIN($A$1,8),1),8)),IF(AND(BO126=2,BL117=1),DEC2HEX(_xlfn.BITXOR(BIN2DEC(RIGHT(HEX2BIN(BL124,8)&amp;LEFT(HEX2BIN($A$1,8),1),8)),HEX2DEC($B$1))),IF(AND(BO126=3,BL117=1),DEC2HEX(_xlfn.BITXOR(_xlfn.BITXOR(BIN2DEC(RIGHT(HEX2BIN(BL124,8)&amp;LEFT(HEX2BIN($A$1,8),1),8)),HEX2DEC($B$1)),HEX2DEC(BL124))),BL124)))))),HEX2DEC(IF(AND(BP126=3,BL118=0),DEC2HEX(_xlfn.BITXOR(BIN2DEC((RIGHT(HEX2BIN(BL125,8)&amp;LEFT(HEX2BIN($A$1,8),1),8))),HEX2DEC(BL125)),2),IF(AND(BP126=2,BL118=0),BIN2HEX(RIGHT(HEX2BIN(BL125,8)&amp;LEFT(HEX2BIN($A$1,8),1),8)),IF(AND(BP126=2,BL118=1),DEC2HEX(_xlfn.BITXOR(BIN2DEC(RIGHT(HEX2BIN(BL125,8)&amp;LEFT(HEX2BIN($A$1,8),1),8)),HEX2DEC($B$1))),IF(AND(BP126=3,BL118=1),DEC2HEX(_xlfn.BITXOR(_xlfn.BITXOR(BIN2DEC(RIGHT(HEX2BIN(BL125,8)&amp;LEFT(HEX2BIN($A$1,8),1),8)),HEX2DEC($B$1)),HEX2DEC(BL125))),BL125)))))),HEX2DEC(IF(AND(BQ126=3,BL119=0),DEC2HEX(_xlfn.BITXOR(BIN2DEC((RIGHT(HEX2BIN(BL126,8)&amp;LEFT(HEX2BIN($A$1,8),1),8))),HEX2DEC(BL126)),2),IF(AND(BQ126=2,BL119=0),BIN2HEX(RIGHT(HEX2BIN(BL126,8)&amp;LEFT(HEX2BIN($A$1,8),1),8)),IF(AND(BQ126=2,BL119=1),DEC2HEX(_xlfn.BITXOR(BIN2DEC(RIGHT(HEX2BIN(BL126,8)&amp;LEFT(HEX2BIN($A$1,8),1),8)),HEX2DEC($B$1))),IF(AND(BQ126=3,BL119=1),DEC2HEX(_xlfn.BITXOR(_xlfn.BITXOR(BIN2DEC(RIGHT(HEX2BIN(BL126,8)&amp;LEFT(HEX2BIN($A$1,8),1),8)),HEX2DEC($B$1)),HEX2DEC(BL126))),BL126)))))))</f>
        <v>F4</v>
      </c>
    </row>
    <row r="127" spans="2:74" x14ac:dyDescent="0.25">
      <c r="B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</row>
    <row r="128" spans="2:74" x14ac:dyDescent="0.25">
      <c r="B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</row>
    <row r="129" spans="2:67" x14ac:dyDescent="0.25">
      <c r="B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</row>
    <row r="130" spans="2:67" x14ac:dyDescent="0.25">
      <c r="B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</row>
    <row r="131" spans="2:67" x14ac:dyDescent="0.25">
      <c r="B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</row>
    <row r="132" spans="2:67" x14ac:dyDescent="0.25">
      <c r="B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</row>
    <row r="133" spans="2:67" x14ac:dyDescent="0.25">
      <c r="B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</row>
    <row r="134" spans="2:67" x14ac:dyDescent="0.25">
      <c r="B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</row>
    <row r="135" spans="2:67" x14ac:dyDescent="0.25">
      <c r="B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</row>
    <row r="136" spans="2:67" x14ac:dyDescent="0.25">
      <c r="B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</row>
    <row r="137" spans="2:67" x14ac:dyDescent="0.25">
      <c r="B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</row>
    <row r="138" spans="2:67" x14ac:dyDescent="0.25">
      <c r="B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</row>
    <row r="139" spans="2:67" x14ac:dyDescent="0.25">
      <c r="B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</row>
    <row r="140" spans="2:67" x14ac:dyDescent="0.25">
      <c r="B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</row>
    <row r="141" spans="2:67" x14ac:dyDescent="0.25">
      <c r="B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</row>
    <row r="142" spans="2:67" x14ac:dyDescent="0.25">
      <c r="B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</row>
    <row r="143" spans="2:67" x14ac:dyDescent="0.25">
      <c r="B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</row>
    <row r="144" spans="2:67" x14ac:dyDescent="0.25">
      <c r="B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</row>
    <row r="145" spans="2:66" x14ac:dyDescent="0.25">
      <c r="B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</row>
    <row r="146" spans="2:66" x14ac:dyDescent="0.25">
      <c r="B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</row>
    <row r="147" spans="2:66" x14ac:dyDescent="0.25">
      <c r="B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</row>
    <row r="148" spans="2:66" x14ac:dyDescent="0.25">
      <c r="B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</row>
    <row r="149" spans="2:66" x14ac:dyDescent="0.25">
      <c r="B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</row>
    <row r="150" spans="2:66" x14ac:dyDescent="0.25">
      <c r="B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</row>
    <row r="151" spans="2:66" x14ac:dyDescent="0.25">
      <c r="B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</row>
    <row r="152" spans="2:66" x14ac:dyDescent="0.25">
      <c r="B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</row>
    <row r="153" spans="2:66" x14ac:dyDescent="0.25">
      <c r="B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BJ153" t="s">
        <v>179</v>
      </c>
      <c r="BK153"/>
      <c r="BL153" t="s">
        <v>181</v>
      </c>
      <c r="BM153" t="s">
        <v>182</v>
      </c>
      <c r="BN153" t="s">
        <v>180</v>
      </c>
    </row>
    <row r="154" spans="2:66" x14ac:dyDescent="0.25">
      <c r="B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BB154" s="10"/>
      <c r="BC154" s="10"/>
      <c r="BD154" s="10"/>
      <c r="BE154" s="10"/>
      <c r="BJ154" t="str">
        <f>BIN2HEX(RIGHT(HEX2BIN(BA177,8)&amp;LEFT(HEX2BIN($A$1,8),1),8))</f>
        <v>0</v>
      </c>
      <c r="BK154"/>
      <c r="BL154" t="str">
        <f>DEC2HEX(_xlfn.BITXOR(BIN2DEC(RIGHT(HEX2BIN(BC165,8)&amp;LEFT(HEX2BIN($A$1,8),1),8)),HEX2DEC($B$1)))</f>
        <v>59</v>
      </c>
      <c r="BM154" t="str">
        <f>DEC2HEX(_xlfn.BITXOR(_xlfn.BITXOR(BIN2DEC(RIGHT(HEX2BIN(BC166,8)&amp;LEFT(HEX2BIN($A$1,8),1),8)),HEX2DEC($B$1)),HEX2DEC(BC166)))</f>
        <v>3B</v>
      </c>
      <c r="BN154" t="str">
        <f>DEC2HEX(_xlfn.BITXOR(BIN2DEC((RIGHT(HEX2BIN(BA178,8)&amp;LEFT(HEX2BIN($A$1,8),1),8))),HEX2DEC(BA178)),2)</f>
        <v>00</v>
      </c>
    </row>
    <row r="155" spans="2:66" x14ac:dyDescent="0.25">
      <c r="B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BB155" s="10"/>
      <c r="BC155" s="10"/>
      <c r="BD155" s="10"/>
      <c r="BE155" s="10"/>
      <c r="BJ155" s="35"/>
      <c r="BK155" s="35"/>
      <c r="BL155" s="35"/>
      <c r="BM155" s="35"/>
      <c r="BN155" s="35"/>
    </row>
    <row r="156" spans="2:66" x14ac:dyDescent="0.25">
      <c r="B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35"/>
      <c r="BM156" s="35"/>
      <c r="BN156" s="35"/>
    </row>
    <row r="157" spans="2:66" x14ac:dyDescent="0.25">
      <c r="B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35" t="s">
        <v>215</v>
      </c>
      <c r="BM157" s="35"/>
      <c r="BN157" s="35"/>
    </row>
    <row r="158" spans="2:66" x14ac:dyDescent="0.25">
      <c r="B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BA158" s="10"/>
      <c r="BB158" s="75">
        <f>IF(BIN2DEC(LEFT(HEX2BIN(BB165,8),1))=0,0,1)</f>
        <v>0</v>
      </c>
      <c r="BC158" s="75">
        <f>IF(BIN2DEC(LEFT(HEX2BIN(BC165,8),1))=0,0,1)</f>
        <v>0</v>
      </c>
      <c r="BD158" s="75">
        <f>IF(BIN2DEC(LEFT(HEX2BIN(BD165,8),1))=0,0,1)</f>
        <v>0</v>
      </c>
      <c r="BE158" s="75">
        <f>IF(BIN2DEC(LEFT(HEX2BIN(BE165,8),1))=0,0,1)</f>
        <v>1</v>
      </c>
      <c r="BF158" s="10"/>
      <c r="BG158" s="10"/>
      <c r="BH158" s="10"/>
      <c r="BI158" s="10"/>
      <c r="BJ158" s="10"/>
      <c r="BK158" s="10"/>
      <c r="BL158" s="35" t="str">
        <f>DEC2HEX(_xlfn.BITXOR(_xlfn.BITXOR(_xlfn.BITXOR(HEX2DEC(BK161),HEX2DEC(BL161)),HEX2DEC(BM161)),HEX2DEC(BN161)))</f>
        <v>48</v>
      </c>
      <c r="BM158" s="35"/>
      <c r="BN158" s="35"/>
    </row>
    <row r="159" spans="2:66" x14ac:dyDescent="0.25">
      <c r="B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BA159" s="10"/>
      <c r="BB159" s="75">
        <f t="shared" ref="BB159:BE159" si="118">IF(BIN2DEC(LEFT(HEX2BIN(BB166,8),1))=0,0,1)</f>
        <v>0</v>
      </c>
      <c r="BC159" s="75">
        <f t="shared" si="118"/>
        <v>1</v>
      </c>
      <c r="BD159" s="75">
        <f t="shared" si="118"/>
        <v>0</v>
      </c>
      <c r="BE159" s="75">
        <f t="shared" si="118"/>
        <v>0</v>
      </c>
      <c r="BF159" s="10"/>
      <c r="BG159" s="10"/>
      <c r="BH159" s="10"/>
      <c r="BI159" s="10"/>
      <c r="BJ159" s="10"/>
      <c r="BK159" s="10"/>
      <c r="BL159" s="35"/>
      <c r="BM159" s="35"/>
      <c r="BN159" s="35"/>
    </row>
    <row r="160" spans="2:66" x14ac:dyDescent="0.25">
      <c r="B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BA160" s="10"/>
      <c r="BB160" s="75">
        <f t="shared" ref="BB160:BE160" si="119">IF(BIN2DEC(LEFT(HEX2BIN(BB167,8),1))=0,0,1)</f>
        <v>0</v>
      </c>
      <c r="BC160" s="75">
        <f t="shared" si="119"/>
        <v>0</v>
      </c>
      <c r="BD160" s="75">
        <f t="shared" si="119"/>
        <v>0</v>
      </c>
      <c r="BE160" s="75">
        <f t="shared" si="119"/>
        <v>1</v>
      </c>
      <c r="BF160" s="10"/>
      <c r="BG160" s="10"/>
      <c r="BH160" s="10"/>
      <c r="BI160" s="10"/>
      <c r="BJ160" s="10"/>
      <c r="BK160" s="10"/>
      <c r="BL160" s="35"/>
      <c r="BM160" s="35"/>
      <c r="BN160" s="35"/>
    </row>
    <row r="161" spans="2:74" x14ac:dyDescent="0.25">
      <c r="B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BA161" s="10"/>
      <c r="BB161" s="75">
        <f t="shared" ref="BB161:BE161" si="120">IF(BIN2DEC(LEFT(HEX2BIN(BB168,8),1))=0,0,1)</f>
        <v>1</v>
      </c>
      <c r="BC161" s="75">
        <f t="shared" si="120"/>
        <v>1</v>
      </c>
      <c r="BD161" s="75">
        <f t="shared" si="120"/>
        <v>0</v>
      </c>
      <c r="BE161" s="75">
        <f t="shared" si="120"/>
        <v>1</v>
      </c>
      <c r="BF161" s="10"/>
      <c r="BG161" s="10"/>
      <c r="BH161" s="10"/>
      <c r="BI161" s="10"/>
      <c r="BJ161" s="10"/>
      <c r="BK161" t="str">
        <f>DEC2HEX(_xlfn.BITXOR(_xlfn.BITXOR(BIN2DEC(RIGHT(HEX2BIN(BE165,8)&amp;LEFT(HEX2BIN($A$1,8),1),8)),HEX2DEC($B$1)),HEX2DEC(BE165)))</f>
        <v>61</v>
      </c>
      <c r="BL161">
        <f>BE166</f>
        <v>58</v>
      </c>
      <c r="BM161" t="str">
        <f>BE167</f>
        <v>E8</v>
      </c>
      <c r="BN161" t="str">
        <f>DEC2HEX(_xlfn.BITXOR(BIN2DEC(RIGHT(HEX2BIN(BE168,8)&amp;LEFT(HEX2BIN($A$1,8),1),8)),HEX2DEC($B$1)))</f>
        <v>99</v>
      </c>
    </row>
    <row r="162" spans="2:74" ht="15.75" x14ac:dyDescent="0.25">
      <c r="B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H162" s="76" t="s">
        <v>276</v>
      </c>
      <c r="AW162" s="116" t="s">
        <v>229</v>
      </c>
      <c r="AX162" s="116"/>
      <c r="AY162" s="116"/>
      <c r="AZ162" s="116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</row>
    <row r="163" spans="2:74" x14ac:dyDescent="0.25">
      <c r="B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</row>
    <row r="164" spans="2:74" x14ac:dyDescent="0.25">
      <c r="B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H164" s="116" t="s">
        <v>248</v>
      </c>
      <c r="AI164" s="116"/>
      <c r="AJ164" s="116"/>
      <c r="AK164" s="116"/>
      <c r="AR164" s="116" t="s">
        <v>221</v>
      </c>
      <c r="AS164" s="116"/>
      <c r="AT164" s="116"/>
      <c r="AU164" s="116"/>
      <c r="AW164" s="116" t="s">
        <v>222</v>
      </c>
      <c r="AX164" s="116"/>
      <c r="AY164" s="116"/>
      <c r="AZ164" s="116"/>
      <c r="BA164" s="10"/>
      <c r="BB164" s="118" t="s">
        <v>227</v>
      </c>
      <c r="BC164" s="118"/>
      <c r="BD164" s="118"/>
      <c r="BE164" s="118"/>
      <c r="BF164" s="10"/>
      <c r="BG164" s="10"/>
      <c r="BH164" s="10"/>
      <c r="BI164" s="10"/>
      <c r="BJ164" s="10"/>
      <c r="BK164" s="10"/>
      <c r="BL164" s="116" t="s">
        <v>225</v>
      </c>
      <c r="BM164" s="116"/>
      <c r="BN164" s="116"/>
      <c r="BO164" s="116"/>
    </row>
    <row r="165" spans="2:74" x14ac:dyDescent="0.25">
      <c r="B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H165" s="14" t="str">
        <f>H9</f>
        <v>19</v>
      </c>
      <c r="AI165" s="14" t="str">
        <f>K9</f>
        <v>52</v>
      </c>
      <c r="AJ165" s="14" t="str">
        <f>N9</f>
        <v>49</v>
      </c>
      <c r="AK165" s="14" t="str">
        <f>Q9</f>
        <v>BA</v>
      </c>
      <c r="AM165" s="1" t="str">
        <f>BL123</f>
        <v>BB</v>
      </c>
      <c r="AN165" s="35" t="str">
        <f t="shared" ref="AN165:AP168" si="121">BM123</f>
        <v>29</v>
      </c>
      <c r="AO165" s="35" t="str">
        <f t="shared" si="121"/>
        <v>67</v>
      </c>
      <c r="AP165" s="35" t="str">
        <f t="shared" si="121"/>
        <v>F0</v>
      </c>
      <c r="AR165" s="35" t="str">
        <f>DEC2HEX(_xlfn.BITXOR(HEX2DEC(AH165),HEX2DEC(AM165)))</f>
        <v>A2</v>
      </c>
      <c r="AS165" s="35" t="str">
        <f>DEC2HEX(_xlfn.BITXOR(HEX2DEC(AI165),HEX2DEC(AN165)))</f>
        <v>7B</v>
      </c>
      <c r="AT165" s="35" t="str">
        <f>DEC2HEX(_xlfn.BITXOR(HEX2DEC(AJ165),HEX2DEC(AO165)))</f>
        <v>2E</v>
      </c>
      <c r="AU165" s="35" t="str">
        <f>DEC2HEX(_xlfn.BITXOR(HEX2DEC(AK165),HEX2DEC(AP165)))</f>
        <v>4A</v>
      </c>
      <c r="AW165" s="1" t="s">
        <v>272</v>
      </c>
      <c r="AX165" s="1">
        <v>21</v>
      </c>
      <c r="AY165" s="1">
        <v>31</v>
      </c>
      <c r="AZ165" s="1" t="s">
        <v>94</v>
      </c>
      <c r="BA165" s="10"/>
      <c r="BB165" s="10" t="str">
        <f>AW165</f>
        <v>3A</v>
      </c>
      <c r="BC165" s="10">
        <f t="shared" ref="BC165" si="122">AX165</f>
        <v>21</v>
      </c>
      <c r="BD165" s="10">
        <f t="shared" ref="BD165" si="123">AY165</f>
        <v>31</v>
      </c>
      <c r="BE165" s="28" t="str">
        <f t="shared" ref="BE165" si="124">AZ165</f>
        <v>D6</v>
      </c>
      <c r="BF165" s="10"/>
      <c r="BG165" s="34">
        <v>2</v>
      </c>
      <c r="BH165" s="34">
        <v>3</v>
      </c>
      <c r="BI165" s="34">
        <v>1</v>
      </c>
      <c r="BJ165" s="34">
        <v>1</v>
      </c>
      <c r="BK165" s="10"/>
      <c r="BL165" s="44" t="str">
        <f>DEC2HEX(_xlfn.BITXOR(_xlfn.BITXOR(_xlfn.BITXOR(HEX2DEC(IF(AND(BG165=3,BB158=0),DEC2HEX(_xlfn.BITXOR(BIN2DEC((RIGHT(HEX2BIN(BB165,8)&amp;LEFT(HEX2BIN($A$1,8),1),8))),HEX2DEC(BB165)),2),IF(AND(BG165=2,BB158=0),BIN2HEX(RIGHT(HEX2BIN(BB165,8)&amp;LEFT(HEX2BIN($A$1,8),1),8)),IF(AND(BG165=2,BB158=1),DEC2HEX(_xlfn.BITXOR(BIN2DEC(RIGHT(HEX2BIN(BB165,8)&amp;LEFT(HEX2BIN($A$1,8),1),8)),HEX2DEC($B$1))),IF(AND(BG165=3,BB158=1),DEC2HEX(_xlfn.BITXOR(_xlfn.BITXOR(BIN2DEC(RIGHT(HEX2BIN(BB165,8)&amp;LEFT(HEX2BIN($A$1,8),1),8)),HEX2DEC($B$1)),HEX2DEC(BB165))),BB165))))),HEX2DEC(IF(AND(BH165=3,BB159=0),DEC2HEX(_xlfn.BITXOR(BIN2DEC((RIGHT(HEX2BIN(BB166,8)&amp;LEFT(HEX2BIN($A$1,8),1),8))),HEX2DEC(BB166)),2),IF(AND(BH165=2,BB159=0),BIN2HEX(RIGHT(HEX2BIN(BB166,8)&amp;LEFT(HEX2BIN($A$1,8),1),8)),IF(AND(BH165=2,BB159=1),DEC2HEX(_xlfn.BITXOR(BIN2DEC(RIGHT(HEX2BIN(BB166,8)&amp;LEFT(HEX2BIN($A$1,8),1),8)),HEX2DEC($B$1))),IF(AND(BH165=3,BB159=1),DEC2HEX(_xlfn.BITXOR(_xlfn.BITXOR(BIN2DEC(RIGHT(HEX2BIN(BB166,8)&amp;LEFT(HEX2BIN($A$1,8),1),8)),HEX2DEC($B$1)),HEX2DEC(BB166))),BB166)))))),HEX2DEC(IF(AND(BI165=3,BB160=0),DEC2HEX(_xlfn.BITXOR(BIN2DEC((RIGHT(HEX2BIN(BB167,8)&amp;LEFT(HEX2BIN($A$1,8),1),8))),HEX2DEC(BB167)),2),IF(AND(BI165=2,BB160=0),BIN2HEX(RIGHT(HEX2BIN(BB167,8)&amp;LEFT(HEX2BIN($A$1,8),1),8)),IF(AND(BI165=2,BB160=1),DEC2HEX(_xlfn.BITXOR(BIN2DEC(RIGHT(HEX2BIN(BB167,8)&amp;LEFT(HEX2BIN($A$1,8),1),8)),HEX2DEC($B$1))),IF(AND(BI165=3,BB160=1),DEC2HEX(_xlfn.BITXOR(_xlfn.BITXOR(BIN2DEC(RIGHT(HEX2BIN(BB167,8)&amp;LEFT(HEX2BIN($A$1,8),1),8)),HEX2DEC($B$1)),HEX2DEC(BB167))),BB167)))))),HEX2DEC(IF(AND(BJ165=3,BB161=0),DEC2HEX(_xlfn.BITXOR(BIN2DEC((RIGHT(HEX2BIN(BB168,8)&amp;LEFT(HEX2BIN($A$1,8),1),8))),HEX2DEC(BB168)),2),IF(AND(BJ165=2,BB161=0),BIN2HEX(RIGHT(HEX2BIN(BB168,8)&amp;LEFT(HEX2BIN($A$1,8),1),8)),IF(AND(BJ165=2,BB161=1),DEC2HEX(_xlfn.BITXOR(BIN2DEC(RIGHT(HEX2BIN(BB168,8)&amp;LEFT(HEX2BIN($A$1,8),1),8)),HEX2DEC($B$1))),IF(AND(BJ165=3,BB161=1),DEC2HEX(_xlfn.BITXOR(_xlfn.BITXOR(BIN2DEC(RIGHT(HEX2BIN(BB168,8)&amp;LEFT(HEX2BIN($A$1,8),1),8)),HEX2DEC($B$1)),HEX2DEC(BB168))),BB168)))))))</f>
        <v>71</v>
      </c>
      <c r="BM165" s="44" t="str">
        <f>DEC2HEX(_xlfn.BITXOR(_xlfn.BITXOR(_xlfn.BITXOR(HEX2DEC(IF(AND(BG165=3,BC158=0),DEC2HEX(_xlfn.BITXOR(BIN2DEC((RIGHT(HEX2BIN(BC165,8)&amp;LEFT(HEX2BIN($A$1,8),1),8))),HEX2DEC(BC165)),2),IF(AND(BG165=2,BC158=0),BIN2HEX(RIGHT(HEX2BIN(BC165,8)&amp;LEFT(HEX2BIN($A$1,8),1),8)),IF(AND(BG165=2,BC158=1),DEC2HEX(_xlfn.BITXOR(BIN2DEC(RIGHT(HEX2BIN(BC165,8)&amp;LEFT(HEX2BIN($A$1,8),1),8)),HEX2DEC($B$1))),IF(AND(BG165=3,BC158=1),DEC2HEX(_xlfn.BITXOR(_xlfn.BITXOR(BIN2DEC(RIGHT(HEX2BIN(BC165,8)&amp;LEFT(HEX2BIN($A$1,8),1),8)),HEX2DEC($B$1)),HEX2DEC(BC165))),BC165))))),HEX2DEC(IF(AND(BH165=3,BC159=0),DEC2HEX(_xlfn.BITXOR(BIN2DEC((RIGHT(HEX2BIN(BC166,8)&amp;LEFT(HEX2BIN($A$1,8),1),8))),HEX2DEC(BC166)),2),IF(AND(BH165=2,BC159=0),BIN2HEX(RIGHT(HEX2BIN(BC166,8)&amp;LEFT(HEX2BIN($A$1,8),1),8)),IF(AND(BH165=2,BC159=1),DEC2HEX(_xlfn.BITXOR(BIN2DEC(RIGHT(HEX2BIN(BC166,8)&amp;LEFT(HEX2BIN($A$1,8),1),8)),HEX2DEC($B$1))),IF(AND(BH165=3,BC159=1),DEC2HEX(_xlfn.BITXOR(_xlfn.BITXOR(BIN2DEC(RIGHT(HEX2BIN(BC166,8)&amp;LEFT(HEX2BIN($A$1,8),1),8)),HEX2DEC($B$1)),HEX2DEC(BC166))),BC166)))))),HEX2DEC(IF(AND(BI165=3,BC160=0),DEC2HEX(_xlfn.BITXOR(BIN2DEC((RIGHT(HEX2BIN(BC167,8)&amp;LEFT(HEX2BIN($A$1,8),1),8))),HEX2DEC(BC167)),2),IF(AND(BI165=2,BC160=0),BIN2HEX(RIGHT(HEX2BIN(BC167,8)&amp;LEFT(HEX2BIN($A$1,8),1),8)),IF(AND(BI165=2,BC160=1),DEC2HEX(_xlfn.BITXOR(BIN2DEC(RIGHT(HEX2BIN(BC167,8)&amp;LEFT(HEX2BIN($A$1,8),1),8)),HEX2DEC($B$1))),IF(AND(BI165=3,BC160=1),DEC2HEX(_xlfn.BITXOR(_xlfn.BITXOR(BIN2DEC(RIGHT(HEX2BIN(BC167,8)&amp;LEFT(HEX2BIN($A$1,8),1),8)),HEX2DEC($B$1)),HEX2DEC(BC167))),BC167)))))),HEX2DEC(IF(AND(BJ165=3,BC161=0),DEC2HEX(_xlfn.BITXOR(BIN2DEC((RIGHT(HEX2BIN(BC168,8)&amp;LEFT(HEX2BIN($A$1,8),1),8))),HEX2DEC(BC168)),2),IF(AND(BJ165=2,BC161=0),BIN2HEX(RIGHT(HEX2BIN(BC168,8)&amp;LEFT(HEX2BIN($A$1,8),1),8)),IF(AND(BJ165=2,BC161=1),DEC2HEX(_xlfn.BITXOR(BIN2DEC(RIGHT(HEX2BIN(BC168,8)&amp;LEFT(HEX2BIN($A$1,8),1),8)),HEX2DEC($B$1))),IF(AND(BJ165=3,BC161=1),DEC2HEX(_xlfn.BITXOR(_xlfn.BITXOR(BIN2DEC(RIGHT(HEX2BIN(BC168,8)&amp;LEFT(HEX2BIN($A$1,8),1),8)),HEX2DEC($B$1)),HEX2DEC(BC168))),BC168)))))))</f>
        <v>84</v>
      </c>
      <c r="BN165" s="41" t="str">
        <f>DEC2HEX(_xlfn.BITXOR(_xlfn.BITXOR(_xlfn.BITXOR(HEX2DEC(IF(AND(BG165=3,BD158=0),DEC2HEX(_xlfn.BITXOR(BIN2DEC((RIGHT(HEX2BIN(BD165,8)&amp;LEFT(HEX2BIN($A$1,8),1),8))),HEX2DEC(BD165)),2),IF(AND(BG165=2,BD158=0),BIN2HEX(RIGHT(HEX2BIN(BD165,8)&amp;LEFT(HEX2BIN($A$1,8),1),8)),IF(AND(BG165=2,BD158=1),DEC2HEX(_xlfn.BITXOR(BIN2DEC(RIGHT(HEX2BIN(BD165,8)&amp;LEFT(HEX2BIN($A$1,8),1),8)),HEX2DEC($B$1))),IF(AND(BG165=3,BD158=1),DEC2HEX(_xlfn.BITXOR(_xlfn.BITXOR(BIN2DEC(RIGHT(HEX2BIN(BD165,8)&amp;LEFT(HEX2BIN($A$1,8),1),8)),HEX2DEC($B$1)),HEX2DEC(BD165))),BD165))))),HEX2DEC(IF(AND(BH165=3,BD159=0),DEC2HEX(_xlfn.BITXOR(BIN2DEC((RIGHT(HEX2BIN(BD166,8)&amp;LEFT(HEX2BIN($A$1,8),1),8))),HEX2DEC(BD166)),2),IF(AND(BH165=2,BD159=0),BIN2HEX(RIGHT(HEX2BIN(BD166,8)&amp;LEFT(HEX2BIN($A$1,8),1),8)),IF(AND(BH165=2,BD159=1),DEC2HEX(_xlfn.BITXOR(BIN2DEC(RIGHT(HEX2BIN(BD166,8)&amp;LEFT(HEX2BIN($A$1,8),1),8)),HEX2DEC($B$1))),IF(AND(BH165=3,BD159=1),DEC2HEX(_xlfn.BITXOR(_xlfn.BITXOR(BIN2DEC(RIGHT(HEX2BIN(BD166,8)&amp;LEFT(HEX2BIN($A$1,8),1),8)),HEX2DEC($B$1)),HEX2DEC(BD166))),BD166)))))),HEX2DEC(IF(AND(BI165=3,BD160=0),DEC2HEX(_xlfn.BITXOR(BIN2DEC((RIGHT(HEX2BIN(BD167,8)&amp;LEFT(HEX2BIN($A$1,8),1),8))),HEX2DEC(BD167)),2),IF(AND(BI165=2,BD160=0),BIN2HEX(RIGHT(HEX2BIN(BD167,8)&amp;LEFT(HEX2BIN($A$1,8),1),8)),IF(AND(BI165=2,BD160=1),DEC2HEX(_xlfn.BITXOR(BIN2DEC(RIGHT(HEX2BIN(BD167,8)&amp;LEFT(HEX2BIN($A$1,8),1),8)),HEX2DEC($B$1))),IF(AND(BI165=3,BD160=1),DEC2HEX(_xlfn.BITXOR(_xlfn.BITXOR(BIN2DEC(RIGHT(HEX2BIN(BD167,8)&amp;LEFT(HEX2BIN($A$1,8),1),8)),HEX2DEC($B$1)),HEX2DEC(BD167))),BD167)))))),HEX2DEC(IF(AND(BJ165=3,BD161=0),DEC2HEX(_xlfn.BITXOR(BIN2DEC((RIGHT(HEX2BIN(BD168,8)&amp;LEFT(HEX2BIN($A$1,8),1),8))),HEX2DEC(BD168)),2),IF(AND(BJ165=2,BD161=0),BIN2HEX(RIGHT(HEX2BIN(BD168,8)&amp;LEFT(HEX2BIN($A$1,8),1),8)),IF(AND(BJ165=2,BD161=1),DEC2HEX(_xlfn.BITXOR(BIN2DEC(RIGHT(HEX2BIN(BD168,8)&amp;LEFT(HEX2BIN($A$1,8),1),8)),HEX2DEC($B$1))),IF(AND(BJ165=3,BD161=1),DEC2HEX(_xlfn.BITXOR(_xlfn.BITXOR(BIN2DEC(RIGHT(HEX2BIN(BD168,8)&amp;LEFT(HEX2BIN($A$1,8),1),8)),HEX2DEC($B$1)),HEX2DEC(BD168))),BD168)))))))</f>
        <v>E</v>
      </c>
      <c r="BO165" s="44" t="str">
        <f>DEC2HEX(_xlfn.BITXOR(_xlfn.BITXOR(_xlfn.BITXOR(HEX2DEC(IF(AND(BG165=3,BE158=0),DEC2HEX(_xlfn.BITXOR(BIN2DEC((RIGHT(HEX2BIN(BE165,8)&amp;LEFT(HEX2BIN($A$1,8),1),8))),HEX2DEC(BE165)),2),IF(AND(BG165=2,BE158=0),BIN2HEX(RIGHT(HEX2BIN(BE165,8)&amp;LEFT(HEX2BIN($A$1,8),1),8)),IF(AND(BG165=2,BE158=1),DEC2HEX(_xlfn.BITXOR(BIN2DEC(RIGHT(HEX2BIN(BE165,8)&amp;LEFT(HEX2BIN($A$1,8),1),8)),HEX2DEC($B$1))),IF(AND(BG165=3,BE158=1),DEC2HEX(_xlfn.BITXOR(_xlfn.BITXOR(BIN2DEC(RIGHT(HEX2BIN(BE165,8)&amp;LEFT(HEX2BIN($A$1,8),1),8)),HEX2DEC($B$1)),HEX2DEC(BE165))),BE165))))),HEX2DEC(IF(AND(BH165=3,BE159=0),DEC2HEX(_xlfn.BITXOR(BIN2DEC((RIGHT(HEX2BIN(BE166,8)&amp;LEFT(HEX2BIN($A$1,8),1),8))),HEX2DEC(BE166)),2),IF(AND(BH165=2,BE159=0),BIN2HEX(RIGHT(HEX2BIN(BE166,8)&amp;LEFT(HEX2BIN($A$1,8),1),8)),IF(AND(BH165=2,BE159=1),DEC2HEX(_xlfn.BITXOR(BIN2DEC(RIGHT(HEX2BIN(BE166,8)&amp;LEFT(HEX2BIN($A$1,8),1),8)),HEX2DEC($B$1))),IF(AND(BH165=3,BE159=1),DEC2HEX(_xlfn.BITXOR(_xlfn.BITXOR(BIN2DEC(RIGHT(HEX2BIN(BE166,8)&amp;LEFT(HEX2BIN($A$1,8),1),8)),HEX2DEC($B$1)),HEX2DEC(BE166))),BE166)))))),HEX2DEC(IF(AND(BI165=3,BE160=0),DEC2HEX(_xlfn.BITXOR(BIN2DEC((RIGHT(HEX2BIN(BE167,8)&amp;LEFT(HEX2BIN($A$1,8),1),8))),HEX2DEC(BE167)),2),IF(AND(BI165=2,BE160=0),BIN2HEX(RIGHT(HEX2BIN(BE167,8)&amp;LEFT(HEX2BIN($A$1,8),1),8)),IF(AND(BI165=2,BE160=1),DEC2HEX(_xlfn.BITXOR(BIN2DEC(RIGHT(HEX2BIN(BE167,8)&amp;LEFT(HEX2BIN($A$1,8),1),8)),HEX2DEC($B$1))),IF(AND(BI165=3,BE160=1),DEC2HEX(_xlfn.BITXOR(_xlfn.BITXOR(BIN2DEC(RIGHT(HEX2BIN(BE167,8)&amp;LEFT(HEX2BIN($A$1,8),1),8)),HEX2DEC($B$1)),HEX2DEC(BE167))),BE167)))))),HEX2DEC(IF(AND(BJ165=3,BE161=0),DEC2HEX(_xlfn.BITXOR(BIN2DEC((RIGHT(HEX2BIN(BE168,8)&amp;LEFT(HEX2BIN($A$1,8),1),8))),HEX2DEC(BE168)),2),IF(AND(BJ165=2,BE161=0),BIN2HEX(RIGHT(HEX2BIN(BE168,8)&amp;LEFT(HEX2BIN($A$1,8),1),8)),IF(AND(BJ165=2,BE161=1),DEC2HEX(_xlfn.BITXOR(BIN2DEC(RIGHT(HEX2BIN(BE168,8)&amp;LEFT(HEX2BIN($A$1,8),1),8)),HEX2DEC($B$1))),IF(AND(BJ165=3,BE161=1),DEC2HEX(_xlfn.BITXOR(_xlfn.BITXOR(BIN2DEC(RIGHT(HEX2BIN(BE168,8)&amp;LEFT(HEX2BIN($A$1,8),1),8)),HEX2DEC($B$1)),HEX2DEC(BE168))),BE168)))))))</f>
        <v>76</v>
      </c>
      <c r="BS165" s="44" t="s">
        <v>123</v>
      </c>
      <c r="BT165" s="44" t="s">
        <v>136</v>
      </c>
      <c r="BU165" s="44" t="s">
        <v>228</v>
      </c>
      <c r="BV165" s="44" t="s">
        <v>69</v>
      </c>
    </row>
    <row r="166" spans="2:74" x14ac:dyDescent="0.25">
      <c r="B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H166" s="14" t="str">
        <f t="shared" ref="AH166:AH168" si="125">H10</f>
        <v>B6</v>
      </c>
      <c r="AI166" s="14" t="str">
        <f t="shared" ref="AI166:AI168" si="126">K10</f>
        <v>79</v>
      </c>
      <c r="AJ166" s="14" t="str">
        <f t="shared" ref="AJ166:AJ168" si="127">N10</f>
        <v>A8</v>
      </c>
      <c r="AK166" s="14" t="str">
        <f t="shared" ref="AK166:AK168" si="128">Q10</f>
        <v>BC</v>
      </c>
      <c r="AM166" s="35" t="str">
        <f t="shared" ref="AM166:AM168" si="129">BL124</f>
        <v>E8</v>
      </c>
      <c r="AN166" s="35" t="str">
        <f t="shared" si="121"/>
        <v>E1</v>
      </c>
      <c r="AO166" s="35" t="str">
        <f t="shared" si="121"/>
        <v>8</v>
      </c>
      <c r="AP166" s="35" t="str">
        <f t="shared" si="121"/>
        <v>6D</v>
      </c>
      <c r="AR166" s="35" t="str">
        <f t="shared" ref="AR166:AR168" si="130">DEC2HEX(_xlfn.BITXOR(HEX2DEC(AH166),HEX2DEC(AM166)))</f>
        <v>5E</v>
      </c>
      <c r="AS166" s="35" t="str">
        <f t="shared" ref="AS166:AU168" si="131">DEC2HEX(_xlfn.BITXOR(HEX2DEC(AI166),HEX2DEC(AN166)))</f>
        <v>98</v>
      </c>
      <c r="AT166" s="35" t="str">
        <f t="shared" si="131"/>
        <v>A0</v>
      </c>
      <c r="AU166" s="35" t="str">
        <f t="shared" si="131"/>
        <v>D1</v>
      </c>
      <c r="AW166" s="1">
        <v>58</v>
      </c>
      <c r="AX166" s="1">
        <v>46</v>
      </c>
      <c r="AY166" s="1" t="s">
        <v>114</v>
      </c>
      <c r="AZ166" s="1" t="s">
        <v>99</v>
      </c>
      <c r="BA166" s="10"/>
      <c r="BB166" s="10">
        <f>AX166</f>
        <v>46</v>
      </c>
      <c r="BC166" s="10" t="str">
        <f t="shared" ref="BC166" si="132">AY166</f>
        <v>E0</v>
      </c>
      <c r="BD166" s="10" t="str">
        <f t="shared" ref="BD166" si="133">AZ166</f>
        <v>3E</v>
      </c>
      <c r="BE166" s="29">
        <f>AW166</f>
        <v>58</v>
      </c>
      <c r="BF166" s="10"/>
      <c r="BG166" s="34">
        <v>1</v>
      </c>
      <c r="BH166" s="34">
        <v>2</v>
      </c>
      <c r="BI166" s="34">
        <v>3</v>
      </c>
      <c r="BJ166" s="34">
        <v>1</v>
      </c>
      <c r="BK166" s="10"/>
      <c r="BL166" s="44" t="str">
        <f>DEC2HEX(_xlfn.BITXOR(_xlfn.BITXOR(_xlfn.BITXOR(HEX2DEC(IF(AND(BG166=3,BB158=0),DEC2HEX(_xlfn.BITXOR(BIN2DEC((RIGHT(HEX2BIN(BB165,8)&amp;LEFT(HEX2BIN($A$1,8),1),8))),HEX2DEC(BB165)),2),IF(AND(BG166=2,BB158=0),BIN2HEX(RIGHT(HEX2BIN(BB165,8)&amp;LEFT(HEX2BIN($A$1,8),1),8)),IF(AND(BG166=2,BB158=1),DEC2HEX(_xlfn.BITXOR(BIN2DEC(RIGHT(HEX2BIN(BB165,8)&amp;LEFT(HEX2BIN($A$1,8),1),8)),HEX2DEC($B$1))),IF(AND(BG166=3,BB158=1),DEC2HEX(_xlfn.BITXOR(_xlfn.BITXOR(BIN2DEC(RIGHT(HEX2BIN(BB165,8)&amp;LEFT(HEX2BIN($A$1,8),1),8)),HEX2DEC($B$1)),HEX2DEC(BB165))),BB165))))),HEX2DEC(IF(AND(BH166=3,BB159=0),DEC2HEX(_xlfn.BITXOR(BIN2DEC((RIGHT(HEX2BIN(BB166,8)&amp;LEFT(HEX2BIN($A$1,8),1),8))),HEX2DEC(BB166)),2),IF(AND(BH166=2,BB159=0),BIN2HEX(RIGHT(HEX2BIN(BB166,8)&amp;LEFT(HEX2BIN($A$1,8),1),8)),IF(AND(BH166=2,BB159=1),DEC2HEX(_xlfn.BITXOR(BIN2DEC(RIGHT(HEX2BIN(BB166,8)&amp;LEFT(HEX2BIN($A$1,8),1),8)),HEX2DEC($B$1))),IF(AND(BH166=3,BB159=1),DEC2HEX(_xlfn.BITXOR(_xlfn.BITXOR(BIN2DEC(RIGHT(HEX2BIN(BB166,8)&amp;LEFT(HEX2BIN($A$1,8),1),8)),HEX2DEC($B$1)),HEX2DEC(BB166))),BB166)))))),HEX2DEC(IF(AND(BI166=3,BB160=0),DEC2HEX(_xlfn.BITXOR(BIN2DEC((RIGHT(HEX2BIN(BB167,8)&amp;LEFT(HEX2BIN($A$1,8),1),8))),HEX2DEC(BB167)),2),IF(AND(BI166=2,BB160=0),BIN2HEX(RIGHT(HEX2BIN(BB167,8)&amp;LEFT(HEX2BIN($A$1,8),1),8)),IF(AND(BI166=2,BB160=1),DEC2HEX(_xlfn.BITXOR(BIN2DEC(RIGHT(HEX2BIN(BB167,8)&amp;LEFT(HEX2BIN($A$1,8),1),8)),HEX2DEC($B$1))),IF(AND(BI166=3,BB160=1),DEC2HEX(_xlfn.BITXOR(_xlfn.BITXOR(BIN2DEC(RIGHT(HEX2BIN(BB167,8)&amp;LEFT(HEX2BIN($A$1,8),1),8)),HEX2DEC($B$1)),HEX2DEC(BB167))),BB167)))))),HEX2DEC(IF(AND(BJ166=3,BB161=0),DEC2HEX(_xlfn.BITXOR(BIN2DEC((RIGHT(HEX2BIN(BB168,8)&amp;LEFT(HEX2BIN($A$1,8),1),8))),HEX2DEC(BB168)),2),IF(AND(BJ166=2,BB161=0),BIN2HEX(RIGHT(HEX2BIN(BB168,8)&amp;LEFT(HEX2BIN($A$1,8),1),8)),IF(AND(BJ166=2,BB161=1),DEC2HEX(_xlfn.BITXOR(BIN2DEC(RIGHT(HEX2BIN(BB168,8)&amp;LEFT(HEX2BIN($A$1,8),1),8)),HEX2DEC($B$1))),IF(AND(BJ166=3,BB161=1),DEC2HEX(_xlfn.BITXOR(_xlfn.BITXOR(BIN2DEC(RIGHT(HEX2BIN(BB168,8)&amp;LEFT(HEX2BIN($A$1,8),1),8)),HEX2DEC($B$1)),HEX2DEC(BB168))),BB168)))))))</f>
        <v>E9</v>
      </c>
      <c r="BM166" s="44" t="str">
        <f>DEC2HEX(_xlfn.BITXOR(_xlfn.BITXOR(_xlfn.BITXOR(HEX2DEC(IF(AND(BG166=3,BC158=0),DEC2HEX(_xlfn.BITXOR(BIN2DEC((RIGHT(HEX2BIN(BC165,8)&amp;LEFT(HEX2BIN($A$1,8),1),8))),HEX2DEC(BC165)),2),IF(AND(BG166=2,BC158=0),BIN2HEX(RIGHT(HEX2BIN(BC165,8)&amp;LEFT(HEX2BIN($A$1,8),1),8)),IF(AND(BG166=2,BC158=1),DEC2HEX(_xlfn.BITXOR(BIN2DEC(RIGHT(HEX2BIN(BC165,8)&amp;LEFT(HEX2BIN($A$1,8),1),8)),HEX2DEC($B$1))),IF(AND(BG166=3,BC158=1),DEC2HEX(_xlfn.BITXOR(_xlfn.BITXOR(BIN2DEC(RIGHT(HEX2BIN(BC165,8)&amp;LEFT(HEX2BIN($A$1,8),1),8)),HEX2DEC($B$1)),HEX2DEC(BC165))),BC165))))),HEX2DEC(IF(AND(BH166=3,BC159=0),DEC2HEX(_xlfn.BITXOR(BIN2DEC((RIGHT(HEX2BIN(BC166,8)&amp;LEFT(HEX2BIN($A$1,8),1),8))),HEX2DEC(BC166)),2),IF(AND(BH166=2,BC159=0),BIN2HEX(RIGHT(HEX2BIN(BC166,8)&amp;LEFT(HEX2BIN($A$1,8),1),8)),IF(AND(BH166=2,BC159=1),DEC2HEX(_xlfn.BITXOR(BIN2DEC(RIGHT(HEX2BIN(BC166,8)&amp;LEFT(HEX2BIN($A$1,8),1),8)),HEX2DEC($B$1))),IF(AND(BH166=3,BC159=1),DEC2HEX(_xlfn.BITXOR(_xlfn.BITXOR(BIN2DEC(RIGHT(HEX2BIN(BC166,8)&amp;LEFT(HEX2BIN($A$1,8),1),8)),HEX2DEC($B$1)),HEX2DEC(BC166))),BC166)))))),HEX2DEC(IF(AND(BI166=3,BC160=0),DEC2HEX(_xlfn.BITXOR(BIN2DEC((RIGHT(HEX2BIN(BC167,8)&amp;LEFT(HEX2BIN($A$1,8),1),8))),HEX2DEC(BC167)),2),IF(AND(BI166=2,BC160=0),BIN2HEX(RIGHT(HEX2BIN(BC167,8)&amp;LEFT(HEX2BIN($A$1,8),1),8)),IF(AND(BI166=2,BC160=1),DEC2HEX(_xlfn.BITXOR(BIN2DEC(RIGHT(HEX2BIN(BC167,8)&amp;LEFT(HEX2BIN($A$1,8),1),8)),HEX2DEC($B$1))),IF(AND(BI166=3,BC160=1),DEC2HEX(_xlfn.BITXOR(_xlfn.BITXOR(BIN2DEC(RIGHT(HEX2BIN(BC167,8)&amp;LEFT(HEX2BIN($A$1,8),1),8)),HEX2DEC($B$1)),HEX2DEC(BC167))),BC167)))))),HEX2DEC(IF(AND(BJ166=3,BC161=0),DEC2HEX(_xlfn.BITXOR(BIN2DEC((RIGHT(HEX2BIN(BC168,8)&amp;LEFT(HEX2BIN($A$1,8),1),8))),HEX2DEC(BC168)),2),IF(AND(BJ166=2,BC161=0),BIN2HEX(RIGHT(HEX2BIN(BC168,8)&amp;LEFT(HEX2BIN($A$1,8),1),8)),IF(AND(BJ166=2,BC161=1),DEC2HEX(_xlfn.BITXOR(BIN2DEC(RIGHT(HEX2BIN(BC168,8)&amp;LEFT(HEX2BIN($A$1,8),1),8)),HEX2DEC($B$1))),IF(AND(BJ166=3,BC161=1),DEC2HEX(_xlfn.BITXOR(_xlfn.BITXOR(BIN2DEC(RIGHT(HEX2BIN(BC168,8)&amp;LEFT(HEX2BIN($A$1,8),1),8)),HEX2DEC($B$1)),HEX2DEC(BC168))),BC168)))))))</f>
        <v>6D</v>
      </c>
      <c r="BN166" s="44" t="str">
        <f>DEC2HEX(_xlfn.BITXOR(_xlfn.BITXOR(_xlfn.BITXOR(HEX2DEC(IF(AND(BG166=3,BD158=0),DEC2HEX(_xlfn.BITXOR(BIN2DEC((RIGHT(HEX2BIN(BD165,8)&amp;LEFT(HEX2BIN($A$1,8),1),8))),HEX2DEC(BD165)),2),IF(AND(BG166=2,BD158=0),BIN2HEX(RIGHT(HEX2BIN(BD165,8)&amp;LEFT(HEX2BIN($A$1,8),1),8)),IF(AND(BG166=2,BD158=1),DEC2HEX(_xlfn.BITXOR(BIN2DEC(RIGHT(HEX2BIN(BD165,8)&amp;LEFT(HEX2BIN($A$1,8),1),8)),HEX2DEC($B$1))),IF(AND(BG166=3,BD158=1),DEC2HEX(_xlfn.BITXOR(_xlfn.BITXOR(BIN2DEC(RIGHT(HEX2BIN(BD165,8)&amp;LEFT(HEX2BIN($A$1,8),1),8)),HEX2DEC($B$1)),HEX2DEC(BD165))),BD165))))),HEX2DEC(IF(AND(BH166=3,BD159=0),DEC2HEX(_xlfn.BITXOR(BIN2DEC((RIGHT(HEX2BIN(BD166,8)&amp;LEFT(HEX2BIN($A$1,8),1),8))),HEX2DEC(BD166)),2),IF(AND(BH166=2,BD159=0),BIN2HEX(RIGHT(HEX2BIN(BD166,8)&amp;LEFT(HEX2BIN($A$1,8),1),8)),IF(AND(BH166=2,BD159=1),DEC2HEX(_xlfn.BITXOR(BIN2DEC(RIGHT(HEX2BIN(BD166,8)&amp;LEFT(HEX2BIN($A$1,8),1),8)),HEX2DEC($B$1))),IF(AND(BH166=3,BD159=1),DEC2HEX(_xlfn.BITXOR(_xlfn.BITXOR(BIN2DEC(RIGHT(HEX2BIN(BD166,8)&amp;LEFT(HEX2BIN($A$1,8),1),8)),HEX2DEC($B$1)),HEX2DEC(BD166))),BD166)))))),HEX2DEC(IF(AND(BI166=3,BD160=0),DEC2HEX(_xlfn.BITXOR(BIN2DEC((RIGHT(HEX2BIN(BD167,8)&amp;LEFT(HEX2BIN($A$1,8),1),8))),HEX2DEC(BD167)),2),IF(AND(BI166=2,BD160=0),BIN2HEX(RIGHT(HEX2BIN(BD167,8)&amp;LEFT(HEX2BIN($A$1,8),1),8)),IF(AND(BI166=2,BD160=1),DEC2HEX(_xlfn.BITXOR(BIN2DEC(RIGHT(HEX2BIN(BD167,8)&amp;LEFT(HEX2BIN($A$1,8),1),8)),HEX2DEC($B$1))),IF(AND(BI166=3,BD160=1),DEC2HEX(_xlfn.BITXOR(_xlfn.BITXOR(BIN2DEC(RIGHT(HEX2BIN(BD167,8)&amp;LEFT(HEX2BIN($A$1,8),1),8)),HEX2DEC($B$1)),HEX2DEC(BD167))),BD167)))))),HEX2DEC(IF(AND(BJ166=3,BD161=0),DEC2HEX(_xlfn.BITXOR(BIN2DEC((RIGHT(HEX2BIN(BD168,8)&amp;LEFT(HEX2BIN($A$1,8),1),8))),HEX2DEC(BD168)),2),IF(AND(BJ166=2,BD161=0),BIN2HEX(RIGHT(HEX2BIN(BD168,8)&amp;LEFT(HEX2BIN($A$1,8),1),8)),IF(AND(BJ166=2,BD161=1),DEC2HEX(_xlfn.BITXOR(BIN2DEC(RIGHT(HEX2BIN(BD168,8)&amp;LEFT(HEX2BIN($A$1,8),1),8)),HEX2DEC($B$1))),IF(AND(BJ166=3,BD161=1),DEC2HEX(_xlfn.BITXOR(_xlfn.BITXOR(BIN2DEC(RIGHT(HEX2BIN(BD168,8)&amp;LEFT(HEX2BIN($A$1,8),1),8)),HEX2DEC($B$1)),HEX2DEC(BD168))),BD168)))))))</f>
        <v>5B</v>
      </c>
      <c r="BO166" s="44" t="str">
        <f>DEC2HEX(_xlfn.BITXOR(_xlfn.BITXOR(_xlfn.BITXOR(HEX2DEC(IF(AND(BG166=3,BE158=0),DEC2HEX(_xlfn.BITXOR(BIN2DEC((RIGHT(HEX2BIN(BE165,8)&amp;LEFT(HEX2BIN($A$1,8),1),8))),HEX2DEC(BE165)),2),IF(AND(BG166=2,BE158=0),BIN2HEX(RIGHT(HEX2BIN(BE165,8)&amp;LEFT(HEX2BIN($A$1,8),1),8)),IF(AND(BG166=2,BE158=1),DEC2HEX(_xlfn.BITXOR(BIN2DEC(RIGHT(HEX2BIN(BE165,8)&amp;LEFT(HEX2BIN($A$1,8),1),8)),HEX2DEC($B$1))),IF(AND(BG166=3,BE158=1),DEC2HEX(_xlfn.BITXOR(_xlfn.BITXOR(BIN2DEC(RIGHT(HEX2BIN(BE165,8)&amp;LEFT(HEX2BIN($A$1,8),1),8)),HEX2DEC($B$1)),HEX2DEC(BE165))),BE165))))),HEX2DEC(IF(AND(BH166=3,BE159=0),DEC2HEX(_xlfn.BITXOR(BIN2DEC((RIGHT(HEX2BIN(BE166,8)&amp;LEFT(HEX2BIN($A$1,8),1),8))),HEX2DEC(BE166)),2),IF(AND(BH166=2,BE159=0),BIN2HEX(RIGHT(HEX2BIN(BE166,8)&amp;LEFT(HEX2BIN($A$1,8),1),8)),IF(AND(BH166=2,BE159=1),DEC2HEX(_xlfn.BITXOR(BIN2DEC(RIGHT(HEX2BIN(BE166,8)&amp;LEFT(HEX2BIN($A$1,8),1),8)),HEX2DEC($B$1))),IF(AND(BH166=3,BE159=1),DEC2HEX(_xlfn.BITXOR(_xlfn.BITXOR(BIN2DEC(RIGHT(HEX2BIN(BE166,8)&amp;LEFT(HEX2BIN($A$1,8),1),8)),HEX2DEC($B$1)),HEX2DEC(BE166))),BE166)))))),HEX2DEC(IF(AND(BI166=3,BE160=0),DEC2HEX(_xlfn.BITXOR(BIN2DEC((RIGHT(HEX2BIN(BE167,8)&amp;LEFT(HEX2BIN($A$1,8),1),8))),HEX2DEC(BE167)),2),IF(AND(BI166=2,BE160=0),BIN2HEX(RIGHT(HEX2BIN(BE167,8)&amp;LEFT(HEX2BIN($A$1,8),1),8)),IF(AND(BI166=2,BE160=1),DEC2HEX(_xlfn.BITXOR(BIN2DEC(RIGHT(HEX2BIN(BE167,8)&amp;LEFT(HEX2BIN($A$1,8),1),8)),HEX2DEC($B$1))),IF(AND(BI166=3,BE160=1),DEC2HEX(_xlfn.BITXOR(_xlfn.BITXOR(BIN2DEC(RIGHT(HEX2BIN(BE167,8)&amp;LEFT(HEX2BIN($A$1,8),1),8)),HEX2DEC($B$1)),HEX2DEC(BE167))),BE167)))))),HEX2DEC(IF(AND(BJ166=3,BE161=0),DEC2HEX(_xlfn.BITXOR(BIN2DEC((RIGHT(HEX2BIN(BE168,8)&amp;LEFT(HEX2BIN($A$1,8),1),8))),HEX2DEC(BE168)),2),IF(AND(BJ166=2,BE161=0),BIN2HEX(RIGHT(HEX2BIN(BE168,8)&amp;LEFT(HEX2BIN($A$1,8),1),8)),IF(AND(BJ166=2,BE161=1),DEC2HEX(_xlfn.BITXOR(BIN2DEC(RIGHT(HEX2BIN(BE168,8)&amp;LEFT(HEX2BIN($A$1,8),1),8)),HEX2DEC($B$1))),IF(AND(BJ166=3,BE161=1),DEC2HEX(_xlfn.BITXOR(_xlfn.BITXOR(BIN2DEC(RIGHT(HEX2BIN(BE168,8)&amp;LEFT(HEX2BIN($A$1,8),1),8)),HEX2DEC($B$1)),HEX2DEC(BE168))),BE168)))))))</f>
        <v>84</v>
      </c>
      <c r="BS166" s="44" t="s">
        <v>107</v>
      </c>
      <c r="BT166" s="44" t="s">
        <v>101</v>
      </c>
      <c r="BU166" s="44">
        <v>62</v>
      </c>
      <c r="BV166" s="44" t="s">
        <v>116</v>
      </c>
    </row>
    <row r="167" spans="2:74" x14ac:dyDescent="0.25">
      <c r="B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H167" s="14" t="str">
        <f t="shared" si="125"/>
        <v>B3</v>
      </c>
      <c r="AI167" s="14" t="str">
        <f t="shared" si="126"/>
        <v>21</v>
      </c>
      <c r="AJ167" s="14" t="str">
        <f t="shared" si="127"/>
        <v>93</v>
      </c>
      <c r="AK167" s="14" t="str">
        <f t="shared" si="128"/>
        <v>AC</v>
      </c>
      <c r="AM167" s="35" t="str">
        <f t="shared" si="129"/>
        <v>77</v>
      </c>
      <c r="AN167" s="35" t="str">
        <f t="shared" si="121"/>
        <v>E9</v>
      </c>
      <c r="AO167" s="35" t="str">
        <f t="shared" si="121"/>
        <v>47</v>
      </c>
      <c r="AP167" s="35" t="str">
        <f t="shared" si="121"/>
        <v>75</v>
      </c>
      <c r="AR167" s="35" t="str">
        <f t="shared" si="130"/>
        <v>C4</v>
      </c>
      <c r="AS167" s="35" t="str">
        <f t="shared" si="131"/>
        <v>C8</v>
      </c>
      <c r="AT167" s="35" t="str">
        <f t="shared" si="131"/>
        <v>D4</v>
      </c>
      <c r="AU167" s="35" t="str">
        <f t="shared" si="131"/>
        <v>D9</v>
      </c>
      <c r="AW167" s="1" t="s">
        <v>91</v>
      </c>
      <c r="AX167" s="1" t="s">
        <v>195</v>
      </c>
      <c r="AY167" s="1">
        <v>48</v>
      </c>
      <c r="AZ167" s="1">
        <v>35</v>
      </c>
      <c r="BA167" s="10"/>
      <c r="BB167" s="10">
        <f>AY167</f>
        <v>48</v>
      </c>
      <c r="BC167" s="10">
        <f>AZ167</f>
        <v>35</v>
      </c>
      <c r="BD167" s="10" t="str">
        <f>AW167</f>
        <v>1C</v>
      </c>
      <c r="BE167" s="29" t="str">
        <f>AX167</f>
        <v>E8</v>
      </c>
      <c r="BF167" s="10"/>
      <c r="BG167" s="34">
        <v>1</v>
      </c>
      <c r="BH167" s="34">
        <v>1</v>
      </c>
      <c r="BI167" s="34">
        <v>2</v>
      </c>
      <c r="BJ167" s="34">
        <v>3</v>
      </c>
      <c r="BK167" s="10"/>
      <c r="BL167" s="44" t="str">
        <f>DEC2HEX(_xlfn.BITXOR(_xlfn.BITXOR(_xlfn.BITXOR(HEX2DEC(IF(AND(BG167=3,BB158=0),DEC2HEX(_xlfn.BITXOR(BIN2DEC((RIGHT(HEX2BIN(BB165,8)&amp;LEFT(HEX2BIN($A$1,8),1),8))),HEX2DEC(BB165)),2),IF(AND(BG167=2,BB158=0),BIN2HEX(RIGHT(HEX2BIN(BB165,8)&amp;LEFT(HEX2BIN($A$1,8),1),8)),IF(AND(BG167=2,BB158=1),DEC2HEX(_xlfn.BITXOR(BIN2DEC(RIGHT(HEX2BIN(BB165,8)&amp;LEFT(HEX2BIN($A$1,8),1),8)),HEX2DEC($B$1))),IF(AND(BG167=3,BB158=1),DEC2HEX(_xlfn.BITXOR(_xlfn.BITXOR(BIN2DEC(RIGHT(HEX2BIN(BB165,8)&amp;LEFT(HEX2BIN($A$1,8),1),8)),HEX2DEC($B$1)),HEX2DEC(BB165))),BB165))))),HEX2DEC(IF(AND(BH167=3,BB159=0),DEC2HEX(_xlfn.BITXOR(BIN2DEC((RIGHT(HEX2BIN(BB166,8)&amp;LEFT(HEX2BIN($A$1,8),1),8))),HEX2DEC(BB166)),2),IF(AND(BH167=2,BB159=0),BIN2HEX(RIGHT(HEX2BIN(BB166,8)&amp;LEFT(HEX2BIN($A$1,8),1),8)),IF(AND(BH167=2,BB159=1),DEC2HEX(_xlfn.BITXOR(BIN2DEC(RIGHT(HEX2BIN(BB166,8)&amp;LEFT(HEX2BIN($A$1,8),1),8)),HEX2DEC($B$1))),IF(AND(BH167=3,BB159=1),DEC2HEX(_xlfn.BITXOR(_xlfn.BITXOR(BIN2DEC(RIGHT(HEX2BIN(BB166,8)&amp;LEFT(HEX2BIN($A$1,8),1),8)),HEX2DEC($B$1)),HEX2DEC(BB166))),BB166)))))),HEX2DEC(IF(AND(BI167=3,BB160=0),DEC2HEX(_xlfn.BITXOR(BIN2DEC((RIGHT(HEX2BIN(BB167,8)&amp;LEFT(HEX2BIN($A$1,8),1),8))),HEX2DEC(BB167)),2),IF(AND(BI167=2,BB160=0),BIN2HEX(RIGHT(HEX2BIN(BB167,8)&amp;LEFT(HEX2BIN($A$1,8),1),8)),IF(AND(BI167=2,BB160=1),DEC2HEX(_xlfn.BITXOR(BIN2DEC(RIGHT(HEX2BIN(BB167,8)&amp;LEFT(HEX2BIN($A$1,8),1),8)),HEX2DEC($B$1))),IF(AND(BI167=3,BB160=1),DEC2HEX(_xlfn.BITXOR(_xlfn.BITXOR(BIN2DEC(RIGHT(HEX2BIN(BB167,8)&amp;LEFT(HEX2BIN($A$1,8),1),8)),HEX2DEC($B$1)),HEX2DEC(BB167))),BB167)))))),HEX2DEC(IF(AND(BJ167=3,BB161=0),DEC2HEX(_xlfn.BITXOR(BIN2DEC((RIGHT(HEX2BIN(BB168,8)&amp;LEFT(HEX2BIN($A$1,8),1),8))),HEX2DEC(BB168)),2),IF(AND(BJ167=2,BB161=0),BIN2HEX(RIGHT(HEX2BIN(BB168,8)&amp;LEFT(HEX2BIN($A$1,8),1),8)),IF(AND(BJ167=2,BB161=1),DEC2HEX(_xlfn.BITXOR(BIN2DEC(RIGHT(HEX2BIN(BB168,8)&amp;LEFT(HEX2BIN($A$1,8),1),8)),HEX2DEC($B$1))),IF(AND(BJ167=3,BB161=1),DEC2HEX(_xlfn.BITXOR(_xlfn.BITXOR(BIN2DEC(RIGHT(HEX2BIN(BB168,8)&amp;LEFT(HEX2BIN($A$1,8),1),8)),HEX2DEC($B$1)),HEX2DEC(BB168))),BB168)))))))</f>
        <v>7E</v>
      </c>
      <c r="BM167" s="44" t="str">
        <f>DEC2HEX(_xlfn.BITXOR(_xlfn.BITXOR(_xlfn.BITXOR(HEX2DEC(IF(AND(BG167=3,BC158=0),DEC2HEX(_xlfn.BITXOR(BIN2DEC((RIGHT(HEX2BIN(BC165,8)&amp;LEFT(HEX2BIN($A$1,8),1),8))),HEX2DEC(BC165)),2),IF(AND(BG167=2,BC158=0),BIN2HEX(RIGHT(HEX2BIN(BC165,8)&amp;LEFT(HEX2BIN($A$1,8),1),8)),IF(AND(BG167=2,BC158=1),DEC2HEX(_xlfn.BITXOR(BIN2DEC(RIGHT(HEX2BIN(BC165,8)&amp;LEFT(HEX2BIN($A$1,8),1),8)),HEX2DEC($B$1))),IF(AND(BG167=3,BC158=1),DEC2HEX(_xlfn.BITXOR(_xlfn.BITXOR(BIN2DEC(RIGHT(HEX2BIN(BC165,8)&amp;LEFT(HEX2BIN($A$1,8),1),8)),HEX2DEC($B$1)),HEX2DEC(BC165))),BC165))))),HEX2DEC(IF(AND(BH167=3,BC159=0),DEC2HEX(_xlfn.BITXOR(BIN2DEC((RIGHT(HEX2BIN(BC166,8)&amp;LEFT(HEX2BIN($A$1,8),1),8))),HEX2DEC(BC166)),2),IF(AND(BH167=2,BC159=0),BIN2HEX(RIGHT(HEX2BIN(BC166,8)&amp;LEFT(HEX2BIN($A$1,8),1),8)),IF(AND(BH167=2,BC159=1),DEC2HEX(_xlfn.BITXOR(BIN2DEC(RIGHT(HEX2BIN(BC166,8)&amp;LEFT(HEX2BIN($A$1,8),1),8)),HEX2DEC($B$1))),IF(AND(BH167=3,BC159=1),DEC2HEX(_xlfn.BITXOR(_xlfn.BITXOR(BIN2DEC(RIGHT(HEX2BIN(BC166,8)&amp;LEFT(HEX2BIN($A$1,8),1),8)),HEX2DEC($B$1)),HEX2DEC(BC166))),BC166)))))),HEX2DEC(IF(AND(BI167=3,BC160=0),DEC2HEX(_xlfn.BITXOR(BIN2DEC((RIGHT(HEX2BIN(BC167,8)&amp;LEFT(HEX2BIN($A$1,8),1),8))),HEX2DEC(BC167)),2),IF(AND(BI167=2,BC160=0),BIN2HEX(RIGHT(HEX2BIN(BC167,8)&amp;LEFT(HEX2BIN($A$1,8),1),8)),IF(AND(BI167=2,BC160=1),DEC2HEX(_xlfn.BITXOR(BIN2DEC(RIGHT(HEX2BIN(BC167,8)&amp;LEFT(HEX2BIN($A$1,8),1),8)),HEX2DEC($B$1))),IF(AND(BI167=3,BC160=1),DEC2HEX(_xlfn.BITXOR(_xlfn.BITXOR(BIN2DEC(RIGHT(HEX2BIN(BC167,8)&amp;LEFT(HEX2BIN($A$1,8),1),8)),HEX2DEC($B$1)),HEX2DEC(BC167))),BC167)))))),HEX2DEC(IF(AND(BJ167=3,BC161=0),DEC2HEX(_xlfn.BITXOR(BIN2DEC((RIGHT(HEX2BIN(BC168,8)&amp;LEFT(HEX2BIN($A$1,8),1),8))),HEX2DEC(BC168)),2),IF(AND(BJ167=2,BC161=0),BIN2HEX(RIGHT(HEX2BIN(BC168,8)&amp;LEFT(HEX2BIN($A$1,8),1),8)),IF(AND(BJ167=2,BC161=1),DEC2HEX(_xlfn.BITXOR(BIN2DEC(RIGHT(HEX2BIN(BC168,8)&amp;LEFT(HEX2BIN($A$1,8),1),8)),HEX2DEC($B$1))),IF(AND(BJ167=3,BC161=1),DEC2HEX(_xlfn.BITXOR(_xlfn.BITXOR(BIN2DEC(RIGHT(HEX2BIN(BC168,8)&amp;LEFT(HEX2BIN($A$1,8),1),8)),HEX2DEC($B$1)),HEX2DEC(BC168))),BC168)))))))</f>
        <v>E8</v>
      </c>
      <c r="BN167" s="44" t="str">
        <f>DEC2HEX(_xlfn.BITXOR(_xlfn.BITXOR(_xlfn.BITXOR(HEX2DEC(IF(AND(BG167=3,BD158=0),DEC2HEX(_xlfn.BITXOR(BIN2DEC((RIGHT(HEX2BIN(BD165,8)&amp;LEFT(HEX2BIN($A$1,8),1),8))),HEX2DEC(BD165)),2),IF(AND(BG167=2,BD158=0),BIN2HEX(RIGHT(HEX2BIN(BD165,8)&amp;LEFT(HEX2BIN($A$1,8),1),8)),IF(AND(BG167=2,BD158=1),DEC2HEX(_xlfn.BITXOR(BIN2DEC(RIGHT(HEX2BIN(BD165,8)&amp;LEFT(HEX2BIN($A$1,8),1),8)),HEX2DEC($B$1))),IF(AND(BG167=3,BD158=1),DEC2HEX(_xlfn.BITXOR(_xlfn.BITXOR(BIN2DEC(RIGHT(HEX2BIN(BD165,8)&amp;LEFT(HEX2BIN($A$1,8),1),8)),HEX2DEC($B$1)),HEX2DEC(BD165))),BD165))))),HEX2DEC(IF(AND(BH167=3,BD159=0),DEC2HEX(_xlfn.BITXOR(BIN2DEC((RIGHT(HEX2BIN(BD166,8)&amp;LEFT(HEX2BIN($A$1,8),1),8))),HEX2DEC(BD166)),2),IF(AND(BH167=2,BD159=0),BIN2HEX(RIGHT(HEX2BIN(BD166,8)&amp;LEFT(HEX2BIN($A$1,8),1),8)),IF(AND(BH167=2,BD159=1),DEC2HEX(_xlfn.BITXOR(BIN2DEC(RIGHT(HEX2BIN(BD166,8)&amp;LEFT(HEX2BIN($A$1,8),1),8)),HEX2DEC($B$1))),IF(AND(BH167=3,BD159=1),DEC2HEX(_xlfn.BITXOR(_xlfn.BITXOR(BIN2DEC(RIGHT(HEX2BIN(BD166,8)&amp;LEFT(HEX2BIN($A$1,8),1),8)),HEX2DEC($B$1)),HEX2DEC(BD166))),BD166)))))),HEX2DEC(IF(AND(BI167=3,BD160=0),DEC2HEX(_xlfn.BITXOR(BIN2DEC((RIGHT(HEX2BIN(BD167,8)&amp;LEFT(HEX2BIN($A$1,8),1),8))),HEX2DEC(BD167)),2),IF(AND(BI167=2,BD160=0),BIN2HEX(RIGHT(HEX2BIN(BD167,8)&amp;LEFT(HEX2BIN($A$1,8),1),8)),IF(AND(BI167=2,BD160=1),DEC2HEX(_xlfn.BITXOR(BIN2DEC(RIGHT(HEX2BIN(BD167,8)&amp;LEFT(HEX2BIN($A$1,8),1),8)),HEX2DEC($B$1))),IF(AND(BI167=3,BD160=1),DEC2HEX(_xlfn.BITXOR(_xlfn.BITXOR(BIN2DEC(RIGHT(HEX2BIN(BD167,8)&amp;LEFT(HEX2BIN($A$1,8),1),8)),HEX2DEC($B$1)),HEX2DEC(BD167))),BD167)))))),HEX2DEC(IF(AND(BJ167=3,BD161=0),DEC2HEX(_xlfn.BITXOR(BIN2DEC((RIGHT(HEX2BIN(BD168,8)&amp;LEFT(HEX2BIN($A$1,8),1),8))),HEX2DEC(BD168)),2),IF(AND(BJ167=2,BD161=0),BIN2HEX(RIGHT(HEX2BIN(BD168,8)&amp;LEFT(HEX2BIN($A$1,8),1),8)),IF(AND(BJ167=2,BD161=1),DEC2HEX(_xlfn.BITXOR(BIN2DEC(RIGHT(HEX2BIN(BD168,8)&amp;LEFT(HEX2BIN($A$1,8),1),8)),HEX2DEC($B$1))),IF(AND(BJ167=3,BD161=1),DEC2HEX(_xlfn.BITXOR(_xlfn.BITXOR(BIN2DEC(RIGHT(HEX2BIN(BD168,8)&amp;LEFT(HEX2BIN($A$1,8),1),8)),HEX2DEC($B$1)),HEX2DEC(BD168))),BD168)))))))</f>
        <v>61</v>
      </c>
      <c r="BO167" s="44" t="str">
        <f>DEC2HEX(_xlfn.BITXOR(_xlfn.BITXOR(_xlfn.BITXOR(HEX2DEC(IF(AND(BG167=3,BE158=0),DEC2HEX(_xlfn.BITXOR(BIN2DEC((RIGHT(HEX2BIN(BE165,8)&amp;LEFT(HEX2BIN($A$1,8),1),8))),HEX2DEC(BE165)),2),IF(AND(BG167=2,BE158=0),BIN2HEX(RIGHT(HEX2BIN(BE165,8)&amp;LEFT(HEX2BIN($A$1,8),1),8)),IF(AND(BG167=2,BE158=1),DEC2HEX(_xlfn.BITXOR(BIN2DEC(RIGHT(HEX2BIN(BE165,8)&amp;LEFT(HEX2BIN($A$1,8),1),8)),HEX2DEC($B$1))),IF(AND(BG167=3,BE158=1),DEC2HEX(_xlfn.BITXOR(_xlfn.BITXOR(BIN2DEC(RIGHT(HEX2BIN(BE165,8)&amp;LEFT(HEX2BIN($A$1,8),1),8)),HEX2DEC($B$1)),HEX2DEC(BE165))),BE165))))),HEX2DEC(IF(AND(BH167=3,BE159=0),DEC2HEX(_xlfn.BITXOR(BIN2DEC((RIGHT(HEX2BIN(BE166,8)&amp;LEFT(HEX2BIN($A$1,8),1),8))),HEX2DEC(BE166)),2),IF(AND(BH167=2,BE159=0),BIN2HEX(RIGHT(HEX2BIN(BE166,8)&amp;LEFT(HEX2BIN($A$1,8),1),8)),IF(AND(BH167=2,BE159=1),DEC2HEX(_xlfn.BITXOR(BIN2DEC(RIGHT(HEX2BIN(BE166,8)&amp;LEFT(HEX2BIN($A$1,8),1),8)),HEX2DEC($B$1))),IF(AND(BH167=3,BE159=1),DEC2HEX(_xlfn.BITXOR(_xlfn.BITXOR(BIN2DEC(RIGHT(HEX2BIN(BE166,8)&amp;LEFT(HEX2BIN($A$1,8),1),8)),HEX2DEC($B$1)),HEX2DEC(BE166))),BE166)))))),HEX2DEC(IF(AND(BI167=3,BE160=0),DEC2HEX(_xlfn.BITXOR(BIN2DEC((RIGHT(HEX2BIN(BE167,8)&amp;LEFT(HEX2BIN($A$1,8),1),8))),HEX2DEC(BE167)),2),IF(AND(BI167=2,BE160=0),BIN2HEX(RIGHT(HEX2BIN(BE167,8)&amp;LEFT(HEX2BIN($A$1,8),1),8)),IF(AND(BI167=2,BE160=1),DEC2HEX(_xlfn.BITXOR(BIN2DEC(RIGHT(HEX2BIN(BE167,8)&amp;LEFT(HEX2BIN($A$1,8),1),8)),HEX2DEC($B$1))),IF(AND(BI167=3,BE160=1),DEC2HEX(_xlfn.BITXOR(_xlfn.BITXOR(BIN2DEC(RIGHT(HEX2BIN(BE167,8)&amp;LEFT(HEX2BIN($A$1,8),1),8)),HEX2DEC($B$1)),HEX2DEC(BE167))),BE167)))))),HEX2DEC(IF(AND(BJ167=3,BE161=0),DEC2HEX(_xlfn.BITXOR(BIN2DEC((RIGHT(HEX2BIN(BE168,8)&amp;LEFT(HEX2BIN($A$1,8),1),8))),HEX2DEC(BE168)),2),IF(AND(BJ167=2,BE161=0),BIN2HEX(RIGHT(HEX2BIN(BE168,8)&amp;LEFT(HEX2BIN($A$1,8),1),8)),IF(AND(BJ167=2,BE161=1),DEC2HEX(_xlfn.BITXOR(BIN2DEC(RIGHT(HEX2BIN(BE168,8)&amp;LEFT(HEX2BIN($A$1,8),1),8)),HEX2DEC($B$1))),IF(AND(BJ167=3,BE161=1),DEC2HEX(_xlfn.BITXOR(_xlfn.BITXOR(BIN2DEC(RIGHT(HEX2BIN(BE168,8)&amp;LEFT(HEX2BIN($A$1,8),1),8)),HEX2DEC($B$1)),HEX2DEC(BE168))),BE168)))))))</f>
        <v>1D</v>
      </c>
      <c r="BS167" s="44">
        <v>83</v>
      </c>
      <c r="BT167" s="44">
        <v>92</v>
      </c>
      <c r="BU167" s="44">
        <v>65</v>
      </c>
      <c r="BV167" s="44" t="s">
        <v>124</v>
      </c>
    </row>
    <row r="168" spans="2:74" x14ac:dyDescent="0.25">
      <c r="B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H168" s="14" t="str">
        <f t="shared" si="125"/>
        <v>61</v>
      </c>
      <c r="AI168" s="14" t="str">
        <f t="shared" si="126"/>
        <v>72</v>
      </c>
      <c r="AJ168" s="14" t="str">
        <f t="shared" si="127"/>
        <v>CB</v>
      </c>
      <c r="AK168" s="14" t="str">
        <f t="shared" si="128"/>
        <v>20</v>
      </c>
      <c r="AM168" s="35" t="str">
        <f t="shared" si="129"/>
        <v>D0</v>
      </c>
      <c r="AN168" s="35" t="str">
        <f t="shared" si="121"/>
        <v>D3</v>
      </c>
      <c r="AO168" s="35" t="str">
        <f t="shared" si="121"/>
        <v>16</v>
      </c>
      <c r="AP168" s="35" t="str">
        <f t="shared" si="121"/>
        <v>CA</v>
      </c>
      <c r="AR168" s="35" t="str">
        <f t="shared" si="130"/>
        <v>B1</v>
      </c>
      <c r="AS168" s="35" t="str">
        <f t="shared" si="131"/>
        <v>A1</v>
      </c>
      <c r="AT168" s="35" t="str">
        <f t="shared" si="131"/>
        <v>DD</v>
      </c>
      <c r="AU168" s="35" t="str">
        <f t="shared" si="131"/>
        <v>EA</v>
      </c>
      <c r="AW168" s="1" t="s">
        <v>67</v>
      </c>
      <c r="AX168" s="1">
        <v>32</v>
      </c>
      <c r="AY168" s="1" t="s">
        <v>139</v>
      </c>
      <c r="AZ168" s="1">
        <v>87</v>
      </c>
      <c r="BA168" s="10"/>
      <c r="BB168" s="10">
        <f>AZ168</f>
        <v>87</v>
      </c>
      <c r="BC168" s="10" t="str">
        <f>AW168</f>
        <v>C8</v>
      </c>
      <c r="BD168" s="10">
        <f t="shared" ref="BD168" si="134">AX168</f>
        <v>32</v>
      </c>
      <c r="BE168" s="30" t="str">
        <f t="shared" ref="BE168" si="135">AY168</f>
        <v>C1</v>
      </c>
      <c r="BF168" s="10"/>
      <c r="BG168" s="31">
        <v>3</v>
      </c>
      <c r="BH168" s="32">
        <v>1</v>
      </c>
      <c r="BI168" s="32">
        <v>1</v>
      </c>
      <c r="BJ168" s="33">
        <v>2</v>
      </c>
      <c r="BK168" s="10"/>
      <c r="BL168" s="44" t="str">
        <f>DEC2HEX(_xlfn.BITXOR(_xlfn.BITXOR(_xlfn.BITXOR(HEX2DEC(IF(AND(BG168=3,BB158=0),DEC2HEX(_xlfn.BITXOR(BIN2DEC((RIGHT(HEX2BIN(BB165,8)&amp;LEFT(HEX2BIN($A$1,8),1),8))),HEX2DEC(BB165)),2),IF(AND(BG168=2,BB158=0),BIN2HEX(RIGHT(HEX2BIN(BB165,8)&amp;LEFT(HEX2BIN($A$1,8),1),8)),IF(AND(BG168=2,BB158=1),DEC2HEX(_xlfn.BITXOR(BIN2DEC(RIGHT(HEX2BIN(BB165,8)&amp;LEFT(HEX2BIN($A$1,8),1),8)),HEX2DEC($B$1))),IF(AND(BG168=3,BB158=1),DEC2HEX(_xlfn.BITXOR(_xlfn.BITXOR(BIN2DEC(RIGHT(HEX2BIN(BB165,8)&amp;LEFT(HEX2BIN($A$1,8),1),8)),HEX2DEC($B$1)),HEX2DEC(BB165))),BB165))))),HEX2DEC(IF(AND(BH168=3,BB159=0),DEC2HEX(_xlfn.BITXOR(BIN2DEC((RIGHT(HEX2BIN(BB166,8)&amp;LEFT(HEX2BIN($A$1,8),1),8))),HEX2DEC(BB166)),2),IF(AND(BH168=2,BB159=0),BIN2HEX(RIGHT(HEX2BIN(BB166,8)&amp;LEFT(HEX2BIN($A$1,8),1),8)),IF(AND(BH168=2,BB159=1),DEC2HEX(_xlfn.BITXOR(BIN2DEC(RIGHT(HEX2BIN(BB166,8)&amp;LEFT(HEX2BIN($A$1,8),1),8)),HEX2DEC($B$1))),IF(AND(BH168=3,BB159=1),DEC2HEX(_xlfn.BITXOR(_xlfn.BITXOR(BIN2DEC(RIGHT(HEX2BIN(BB166,8)&amp;LEFT(HEX2BIN($A$1,8),1),8)),HEX2DEC($B$1)),HEX2DEC(BB166))),BB166)))))),HEX2DEC(IF(AND(BI168=3,BB160=0),DEC2HEX(_xlfn.BITXOR(BIN2DEC((RIGHT(HEX2BIN(BB167,8)&amp;LEFT(HEX2BIN($A$1,8),1),8))),HEX2DEC(BB167)),2),IF(AND(BI168=2,BB160=0),BIN2HEX(RIGHT(HEX2BIN(BB167,8)&amp;LEFT(HEX2BIN($A$1,8),1),8)),IF(AND(BI168=2,BB160=1),DEC2HEX(_xlfn.BITXOR(BIN2DEC(RIGHT(HEX2BIN(BB167,8)&amp;LEFT(HEX2BIN($A$1,8),1),8)),HEX2DEC($B$1))),IF(AND(BI168=3,BB160=1),DEC2HEX(_xlfn.BITXOR(_xlfn.BITXOR(BIN2DEC(RIGHT(HEX2BIN(BB167,8)&amp;LEFT(HEX2BIN($A$1,8),1),8)),HEX2DEC($B$1)),HEX2DEC(BB167))),BB167)))))),HEX2DEC(IF(AND(BJ168=3,BB161=0),DEC2HEX(_xlfn.BITXOR(BIN2DEC((RIGHT(HEX2BIN(BB168,8)&amp;LEFT(HEX2BIN($A$1,8),1),8))),HEX2DEC(BB168)),2),IF(AND(BJ168=2,BB161=0),BIN2HEX(RIGHT(HEX2BIN(BB168,8)&amp;LEFT(HEX2BIN($A$1,8),1),8)),IF(AND(BJ168=2,BB161=1),DEC2HEX(_xlfn.BITXOR(BIN2DEC(RIGHT(HEX2BIN(BB168,8)&amp;LEFT(HEX2BIN($A$1,8),1),8)),HEX2DEC($B$1))),IF(AND(BJ168=3,BB161=1),DEC2HEX(_xlfn.BITXOR(_xlfn.BITXOR(BIN2DEC(RIGHT(HEX2BIN(BB168,8)&amp;LEFT(HEX2BIN($A$1,8),1),8)),HEX2DEC($B$1)),HEX2DEC(BB168))),BB168)))))))</f>
        <v>55</v>
      </c>
      <c r="BM168" s="44" t="str">
        <f>DEC2HEX(_xlfn.BITXOR(_xlfn.BITXOR(_xlfn.BITXOR(HEX2DEC(IF(AND(BG168=3,BC158=0),DEC2HEX(_xlfn.BITXOR(BIN2DEC((RIGHT(HEX2BIN(BC165,8)&amp;LEFT(HEX2BIN($A$1,8),1),8))),HEX2DEC(BC165)),2),IF(AND(BG168=2,BC158=0),BIN2HEX(RIGHT(HEX2BIN(BC165,8)&amp;LEFT(HEX2BIN($A$1,8),1),8)),IF(AND(BG168=2,BC158=1),DEC2HEX(_xlfn.BITXOR(BIN2DEC(RIGHT(HEX2BIN(BC165,8)&amp;LEFT(HEX2BIN($A$1,8),1),8)),HEX2DEC($B$1))),IF(AND(BG168=3,BC158=1),DEC2HEX(_xlfn.BITXOR(_xlfn.BITXOR(BIN2DEC(RIGHT(HEX2BIN(BC165,8)&amp;LEFT(HEX2BIN($A$1,8),1),8)),HEX2DEC($B$1)),HEX2DEC(BC165))),BC165))))),HEX2DEC(IF(AND(BH168=3,BC159=0),DEC2HEX(_xlfn.BITXOR(BIN2DEC((RIGHT(HEX2BIN(BC166,8)&amp;LEFT(HEX2BIN($A$1,8),1),8))),HEX2DEC(BC166)),2),IF(AND(BH168=2,BC159=0),BIN2HEX(RIGHT(HEX2BIN(BC166,8)&amp;LEFT(HEX2BIN($A$1,8),1),8)),IF(AND(BH168=2,BC159=1),DEC2HEX(_xlfn.BITXOR(BIN2DEC(RIGHT(HEX2BIN(BC166,8)&amp;LEFT(HEX2BIN($A$1,8),1),8)),HEX2DEC($B$1))),IF(AND(BH168=3,BC159=1),DEC2HEX(_xlfn.BITXOR(_xlfn.BITXOR(BIN2DEC(RIGHT(HEX2BIN(BC166,8)&amp;LEFT(HEX2BIN($A$1,8),1),8)),HEX2DEC($B$1)),HEX2DEC(BC166))),BC166)))))),HEX2DEC(IF(AND(BI168=3,BC160=0),DEC2HEX(_xlfn.BITXOR(BIN2DEC((RIGHT(HEX2BIN(BC167,8)&amp;LEFT(HEX2BIN($A$1,8),1),8))),HEX2DEC(BC167)),2),IF(AND(BI168=2,BC160=0),BIN2HEX(RIGHT(HEX2BIN(BC167,8)&amp;LEFT(HEX2BIN($A$1,8),1),8)),IF(AND(BI168=2,BC160=1),DEC2HEX(_xlfn.BITXOR(BIN2DEC(RIGHT(HEX2BIN(BC167,8)&amp;LEFT(HEX2BIN($A$1,8),1),8)),HEX2DEC($B$1))),IF(AND(BI168=3,BC160=1),DEC2HEX(_xlfn.BITXOR(_xlfn.BITXOR(BIN2DEC(RIGHT(HEX2BIN(BC167,8)&amp;LEFT(HEX2BIN($A$1,8),1),8)),HEX2DEC($B$1)),HEX2DEC(BC167))),BC167)))))),HEX2DEC(IF(AND(BJ168=3,BC161=0),DEC2HEX(_xlfn.BITXOR(BIN2DEC((RIGHT(HEX2BIN(BC168,8)&amp;LEFT(HEX2BIN($A$1,8),1),8))),HEX2DEC(BC168)),2),IF(AND(BJ168=2,BC161=0),BIN2HEX(RIGHT(HEX2BIN(BC168,8)&amp;LEFT(HEX2BIN($A$1,8),1),8)),IF(AND(BJ168=2,BC161=1),DEC2HEX(_xlfn.BITXOR(BIN2DEC(RIGHT(HEX2BIN(BC168,8)&amp;LEFT(HEX2BIN($A$1,8),1),8)),HEX2DEC($B$1))),IF(AND(BJ168=3,BC161=1),DEC2HEX(_xlfn.BITXOR(_xlfn.BITXOR(BIN2DEC(RIGHT(HEX2BIN(BC168,8)&amp;LEFT(HEX2BIN($A$1,8),1),8)),HEX2DEC($B$1)),HEX2DEC(BC168))),BC168)))))))</f>
        <v>3D</v>
      </c>
      <c r="BN168" s="44" t="str">
        <f>DEC2HEX(_xlfn.BITXOR(_xlfn.BITXOR(_xlfn.BITXOR(HEX2DEC(IF(AND(BG168=3,BD158=0),DEC2HEX(_xlfn.BITXOR(BIN2DEC((RIGHT(HEX2BIN(BD165,8)&amp;LEFT(HEX2BIN($A$1,8),1),8))),HEX2DEC(BD165)),2),IF(AND(BG168=2,BD158=0),BIN2HEX(RIGHT(HEX2BIN(BD165,8)&amp;LEFT(HEX2BIN($A$1,8),1),8)),IF(AND(BG168=2,BD158=1),DEC2HEX(_xlfn.BITXOR(BIN2DEC(RIGHT(HEX2BIN(BD165,8)&amp;LEFT(HEX2BIN($A$1,8),1),8)),HEX2DEC($B$1))),IF(AND(BG168=3,BD158=1),DEC2HEX(_xlfn.BITXOR(_xlfn.BITXOR(BIN2DEC(RIGHT(HEX2BIN(BD165,8)&amp;LEFT(HEX2BIN($A$1,8),1),8)),HEX2DEC($B$1)),HEX2DEC(BD165))),BD165))))),HEX2DEC(IF(AND(BH168=3,BD159=0),DEC2HEX(_xlfn.BITXOR(BIN2DEC((RIGHT(HEX2BIN(BD166,8)&amp;LEFT(HEX2BIN($A$1,8),1),8))),HEX2DEC(BD166)),2),IF(AND(BH168=2,BD159=0),BIN2HEX(RIGHT(HEX2BIN(BD166,8)&amp;LEFT(HEX2BIN($A$1,8),1),8)),IF(AND(BH168=2,BD159=1),DEC2HEX(_xlfn.BITXOR(BIN2DEC(RIGHT(HEX2BIN(BD166,8)&amp;LEFT(HEX2BIN($A$1,8),1),8)),HEX2DEC($B$1))),IF(AND(BH168=3,BD159=1),DEC2HEX(_xlfn.BITXOR(_xlfn.BITXOR(BIN2DEC(RIGHT(HEX2BIN(BD166,8)&amp;LEFT(HEX2BIN($A$1,8),1),8)),HEX2DEC($B$1)),HEX2DEC(BD166))),BD166)))))),HEX2DEC(IF(AND(BI168=3,BD160=0),DEC2HEX(_xlfn.BITXOR(BIN2DEC((RIGHT(HEX2BIN(BD167,8)&amp;LEFT(HEX2BIN($A$1,8),1),8))),HEX2DEC(BD167)),2),IF(AND(BI168=2,BD160=0),BIN2HEX(RIGHT(HEX2BIN(BD167,8)&amp;LEFT(HEX2BIN($A$1,8),1),8)),IF(AND(BI168=2,BD160=1),DEC2HEX(_xlfn.BITXOR(BIN2DEC(RIGHT(HEX2BIN(BD167,8)&amp;LEFT(HEX2BIN($A$1,8),1),8)),HEX2DEC($B$1))),IF(AND(BI168=3,BD160=1),DEC2HEX(_xlfn.BITXOR(_xlfn.BITXOR(BIN2DEC(RIGHT(HEX2BIN(BD167,8)&amp;LEFT(HEX2BIN($A$1,8),1),8)),HEX2DEC($B$1)),HEX2DEC(BD167))),BD167)))))),HEX2DEC(IF(AND(BJ168=3,BD161=0),DEC2HEX(_xlfn.BITXOR(BIN2DEC((RIGHT(HEX2BIN(BD168,8)&amp;LEFT(HEX2BIN($A$1,8),1),8))),HEX2DEC(BD168)),2),IF(AND(BJ168=2,BD161=0),BIN2HEX(RIGHT(HEX2BIN(BD168,8)&amp;LEFT(HEX2BIN($A$1,8),1),8)),IF(AND(BJ168=2,BD161=1),DEC2HEX(_xlfn.BITXOR(BIN2DEC(RIGHT(HEX2BIN(BD168,8)&amp;LEFT(HEX2BIN($A$1,8),1),8)),HEX2DEC($B$1))),IF(AND(BJ168=3,BD161=1),DEC2HEX(_xlfn.BITXOR(_xlfn.BITXOR(BIN2DEC(RIGHT(HEX2BIN(BD168,8)&amp;LEFT(HEX2BIN($A$1,8),1),8)),HEX2DEC($B$1)),HEX2DEC(BD168))),BD168)))))))</f>
        <v>15</v>
      </c>
      <c r="BO168" s="44" t="str">
        <f>DEC2HEX(_xlfn.BITXOR(_xlfn.BITXOR(_xlfn.BITXOR(HEX2DEC(IF(AND(BG168=3,BE158=0),DEC2HEX(_xlfn.BITXOR(BIN2DEC((RIGHT(HEX2BIN(BE165,8)&amp;LEFT(HEX2BIN($A$1,8),1),8))),HEX2DEC(BE165)),2),IF(AND(BG168=2,BE158=0),BIN2HEX(RIGHT(HEX2BIN(BE165,8)&amp;LEFT(HEX2BIN($A$1,8),1),8)),IF(AND(BG168=2,BE158=1),DEC2HEX(_xlfn.BITXOR(BIN2DEC(RIGHT(HEX2BIN(BE165,8)&amp;LEFT(HEX2BIN($A$1,8),1),8)),HEX2DEC($B$1))),IF(AND(BG168=3,BE158=1),DEC2HEX(_xlfn.BITXOR(_xlfn.BITXOR(BIN2DEC(RIGHT(HEX2BIN(BE165,8)&amp;LEFT(HEX2BIN($A$1,8),1),8)),HEX2DEC($B$1)),HEX2DEC(BE165))),BE165))))),HEX2DEC(IF(AND(BH168=3,BE159=0),DEC2HEX(_xlfn.BITXOR(BIN2DEC((RIGHT(HEX2BIN(BE166,8)&amp;LEFT(HEX2BIN($A$1,8),1),8))),HEX2DEC(BE166)),2),IF(AND(BH168=2,BE159=0),BIN2HEX(RIGHT(HEX2BIN(BE166,8)&amp;LEFT(HEX2BIN($A$1,8),1),8)),IF(AND(BH168=2,BE159=1),DEC2HEX(_xlfn.BITXOR(BIN2DEC(RIGHT(HEX2BIN(BE166,8)&amp;LEFT(HEX2BIN($A$1,8),1),8)),HEX2DEC($B$1))),IF(AND(BH168=3,BE159=1),DEC2HEX(_xlfn.BITXOR(_xlfn.BITXOR(BIN2DEC(RIGHT(HEX2BIN(BE166,8)&amp;LEFT(HEX2BIN($A$1,8),1),8)),HEX2DEC($B$1)),HEX2DEC(BE166))),BE166)))))),HEX2DEC(IF(AND(BI168=3,BE160=0),DEC2HEX(_xlfn.BITXOR(BIN2DEC((RIGHT(HEX2BIN(BE167,8)&amp;LEFT(HEX2BIN($A$1,8),1),8))),HEX2DEC(BE167)),2),IF(AND(BI168=2,BE160=0),BIN2HEX(RIGHT(HEX2BIN(BE167,8)&amp;LEFT(HEX2BIN($A$1,8),1),8)),IF(AND(BI168=2,BE160=1),DEC2HEX(_xlfn.BITXOR(BIN2DEC(RIGHT(HEX2BIN(BE167,8)&amp;LEFT(HEX2BIN($A$1,8),1),8)),HEX2DEC($B$1))),IF(AND(BI168=3,BE160=1),DEC2HEX(_xlfn.BITXOR(_xlfn.BITXOR(BIN2DEC(RIGHT(HEX2BIN(BE167,8)&amp;LEFT(HEX2BIN($A$1,8),1),8)),HEX2DEC($B$1)),HEX2DEC(BE167))),BE167)))))),HEX2DEC(IF(AND(BJ168=3,BE161=0),DEC2HEX(_xlfn.BITXOR(BIN2DEC((RIGHT(HEX2BIN(BE168,8)&amp;LEFT(HEX2BIN($A$1,8),1),8))),HEX2DEC(BE168)),2),IF(AND(BJ168=2,BE161=0),BIN2HEX(RIGHT(HEX2BIN(BE168,8)&amp;LEFT(HEX2BIN($A$1,8),1),8)),IF(AND(BJ168=2,BE161=1),DEC2HEX(_xlfn.BITXOR(BIN2DEC(RIGHT(HEX2BIN(BE168,8)&amp;LEFT(HEX2BIN($A$1,8),1),8)),HEX2DEC($B$1))),IF(AND(BJ168=3,BE161=1),DEC2HEX(_xlfn.BITXOR(_xlfn.BITXOR(BIN2DEC(RIGHT(HEX2BIN(BE168,8)&amp;LEFT(HEX2BIN($A$1,8),1),8)),HEX2DEC($B$1)),HEX2DEC(BE168))),BE168)))))))</f>
        <v>48</v>
      </c>
      <c r="BS168" s="44" t="s">
        <v>115</v>
      </c>
      <c r="BT168" s="44" t="s">
        <v>197</v>
      </c>
      <c r="BU168" s="44">
        <v>90</v>
      </c>
      <c r="BV168" s="44">
        <v>28</v>
      </c>
    </row>
    <row r="169" spans="2:74" x14ac:dyDescent="0.25">
      <c r="B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</row>
    <row r="170" spans="2:74" x14ac:dyDescent="0.25">
      <c r="B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</row>
    <row r="171" spans="2:74" x14ac:dyDescent="0.25">
      <c r="B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</row>
    <row r="172" spans="2:74" x14ac:dyDescent="0.25">
      <c r="B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</row>
    <row r="173" spans="2:74" x14ac:dyDescent="0.25">
      <c r="B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</row>
    <row r="174" spans="2:74" x14ac:dyDescent="0.25">
      <c r="B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</row>
    <row r="175" spans="2:74" x14ac:dyDescent="0.25">
      <c r="B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</row>
    <row r="176" spans="2:74" x14ac:dyDescent="0.25">
      <c r="B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</row>
    <row r="177" spans="2:31" x14ac:dyDescent="0.25">
      <c r="B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</row>
    <row r="178" spans="2:31" x14ac:dyDescent="0.25">
      <c r="B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</row>
    <row r="179" spans="2:31" x14ac:dyDescent="0.25">
      <c r="B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</row>
    <row r="180" spans="2:31" x14ac:dyDescent="0.25">
      <c r="B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</row>
    <row r="181" spans="2:31" x14ac:dyDescent="0.25">
      <c r="B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</row>
    <row r="182" spans="2:31" x14ac:dyDescent="0.25">
      <c r="B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</row>
    <row r="183" spans="2:31" x14ac:dyDescent="0.25">
      <c r="B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</row>
    <row r="184" spans="2:31" x14ac:dyDescent="0.25">
      <c r="B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</row>
    <row r="185" spans="2:31" x14ac:dyDescent="0.25">
      <c r="B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</row>
    <row r="186" spans="2:31" x14ac:dyDescent="0.25">
      <c r="B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</row>
    <row r="187" spans="2:31" x14ac:dyDescent="0.25">
      <c r="B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</row>
    <row r="188" spans="2:31" x14ac:dyDescent="0.25">
      <c r="B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</row>
    <row r="189" spans="2:31" x14ac:dyDescent="0.25">
      <c r="B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</row>
    <row r="190" spans="2:31" x14ac:dyDescent="0.25">
      <c r="B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</row>
    <row r="191" spans="2:31" x14ac:dyDescent="0.25">
      <c r="B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</row>
    <row r="192" spans="2:31" x14ac:dyDescent="0.25">
      <c r="B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</row>
    <row r="193" spans="2:74" x14ac:dyDescent="0.25">
      <c r="B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</row>
    <row r="194" spans="2:74" x14ac:dyDescent="0.25">
      <c r="B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</row>
    <row r="195" spans="2:74" x14ac:dyDescent="0.25">
      <c r="B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BD195" s="10"/>
      <c r="BJ195" t="s">
        <v>179</v>
      </c>
      <c r="BK195"/>
      <c r="BL195" t="s">
        <v>181</v>
      </c>
      <c r="BM195" t="s">
        <v>182</v>
      </c>
      <c r="BN195" t="s">
        <v>180</v>
      </c>
      <c r="BO195" s="35"/>
    </row>
    <row r="196" spans="2:74" x14ac:dyDescent="0.25">
      <c r="B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BD196" s="10"/>
      <c r="BJ196" t="str">
        <f>BIN2HEX(RIGHT(HEX2BIN(BA219,8)&amp;LEFT(HEX2BIN($A$1,8),1),8))</f>
        <v>0</v>
      </c>
      <c r="BK196"/>
      <c r="BL196" t="str">
        <f>DEC2HEX(_xlfn.BITXOR(BIN2DEC(RIGHT(HEX2BIN(BC207,8)&amp;LEFT(HEX2BIN($A$1,8),1),8)),HEX2DEC($B$1)))</f>
        <v>73</v>
      </c>
      <c r="BM196" t="str">
        <f>DEC2HEX(_xlfn.BITXOR(_xlfn.BITXOR(BIN2DEC(RIGHT(HEX2BIN(BC208,8)&amp;LEFT(HEX2BIN($A$1,8),1),8)),HEX2DEC($B$1)),HEX2DEC(BC208)))</f>
        <v>97</v>
      </c>
      <c r="BN196" t="str">
        <f>DEC2HEX(_xlfn.BITXOR(BIN2DEC((RIGHT(HEX2BIN(BA220,8)&amp;LEFT(HEX2BIN($A$1,8),1),8))),HEX2DEC(BA220)),2)</f>
        <v>00</v>
      </c>
      <c r="BO196" s="35"/>
    </row>
    <row r="197" spans="2:74" x14ac:dyDescent="0.25">
      <c r="B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BD197" s="10"/>
      <c r="BJ197" s="35"/>
      <c r="BK197" s="35"/>
      <c r="BL197" s="35"/>
      <c r="BM197" s="35"/>
      <c r="BN197" s="35"/>
      <c r="BO197" s="35"/>
    </row>
    <row r="198" spans="2:74" x14ac:dyDescent="0.25">
      <c r="B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BD198" s="10"/>
      <c r="BJ198" s="35"/>
      <c r="BK198" s="35"/>
      <c r="BL198" s="35"/>
      <c r="BM198" s="35"/>
      <c r="BN198" s="35"/>
      <c r="BO198" s="35"/>
    </row>
    <row r="199" spans="2:74" x14ac:dyDescent="0.25">
      <c r="B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BD199" s="10"/>
      <c r="BE199" s="10"/>
      <c r="BF199" s="10"/>
      <c r="BG199" s="10"/>
      <c r="BH199" s="10"/>
      <c r="BI199" s="10"/>
      <c r="BJ199" s="10"/>
      <c r="BK199" s="10"/>
      <c r="BL199" s="35" t="s">
        <v>215</v>
      </c>
      <c r="BM199" s="35"/>
      <c r="BN199" s="35"/>
      <c r="BO199" s="35"/>
    </row>
    <row r="200" spans="2:74" x14ac:dyDescent="0.25">
      <c r="B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BB200" s="75">
        <f>IF(BIN2DEC(LEFT(HEX2BIN(BB207,8),1))=0,0,1)</f>
        <v>0</v>
      </c>
      <c r="BC200" s="75">
        <f>IF(BIN2DEC(LEFT(HEX2BIN(BC207,8),1))=0,0,1)</f>
        <v>0</v>
      </c>
      <c r="BD200" s="75">
        <f>IF(BIN2DEC(LEFT(HEX2BIN(BD207,8),1))=0,0,1)</f>
        <v>1</v>
      </c>
      <c r="BE200" s="75">
        <f>IF(BIN2DEC(LEFT(HEX2BIN(BE207,8),1))=0,0,1)</f>
        <v>0</v>
      </c>
      <c r="BF200" s="10"/>
      <c r="BG200" s="10"/>
      <c r="BH200" s="10"/>
      <c r="BI200" s="10"/>
      <c r="BJ200" s="10"/>
      <c r="BK200" s="10"/>
      <c r="BL200" s="35" t="str">
        <f>DEC2HEX(_xlfn.BITXOR(_xlfn.BITXOR(_xlfn.BITXOR(HEX2DEC(BK203),HEX2DEC(BL203)),HEX2DEC(BM203)),HEX2DEC(BN203)))</f>
        <v>E4</v>
      </c>
      <c r="BM200" s="35"/>
      <c r="BN200" s="35"/>
      <c r="BO200" s="35"/>
    </row>
    <row r="201" spans="2:74" x14ac:dyDescent="0.25">
      <c r="B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BB201" s="75">
        <f t="shared" ref="BB201:BE201" si="136">IF(BIN2DEC(LEFT(HEX2BIN(BB208,8),1))=0,0,1)</f>
        <v>0</v>
      </c>
      <c r="BC201" s="75">
        <f t="shared" si="136"/>
        <v>1</v>
      </c>
      <c r="BD201" s="75">
        <f t="shared" si="136"/>
        <v>0</v>
      </c>
      <c r="BE201" s="75">
        <f t="shared" si="136"/>
        <v>1</v>
      </c>
      <c r="BF201" s="10"/>
      <c r="BG201" s="10"/>
      <c r="BH201" s="10"/>
      <c r="BI201" s="10"/>
      <c r="BJ201" s="10"/>
      <c r="BK201" s="10"/>
      <c r="BL201" s="35"/>
      <c r="BM201" s="35"/>
      <c r="BN201" s="35"/>
      <c r="BO201" s="35"/>
    </row>
    <row r="202" spans="2:74" x14ac:dyDescent="0.25">
      <c r="B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BB202" s="75">
        <f t="shared" ref="BB202:BE202" si="137">IF(BIN2DEC(LEFT(HEX2BIN(BB209,8),1))=0,0,1)</f>
        <v>1</v>
      </c>
      <c r="BC202" s="75">
        <f t="shared" si="137"/>
        <v>1</v>
      </c>
      <c r="BD202" s="75">
        <f t="shared" si="137"/>
        <v>0</v>
      </c>
      <c r="BE202" s="75">
        <f t="shared" si="137"/>
        <v>0</v>
      </c>
      <c r="BF202" s="10"/>
      <c r="BG202" s="10"/>
      <c r="BH202" s="10"/>
      <c r="BI202" s="10"/>
      <c r="BJ202" s="10"/>
      <c r="BK202" s="10"/>
      <c r="BL202" s="35"/>
      <c r="BM202" s="35"/>
      <c r="BN202" s="35"/>
      <c r="BO202" s="35"/>
    </row>
    <row r="203" spans="2:74" x14ac:dyDescent="0.25">
      <c r="B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BB203" s="75">
        <f t="shared" ref="BB203:BE203" si="138">IF(BIN2DEC(LEFT(HEX2BIN(BB210,8),1))=0,0,1)</f>
        <v>1</v>
      </c>
      <c r="BC203" s="75">
        <f t="shared" si="138"/>
        <v>1</v>
      </c>
      <c r="BD203" s="75">
        <f t="shared" si="138"/>
        <v>1</v>
      </c>
      <c r="BE203" s="75">
        <f t="shared" si="138"/>
        <v>0</v>
      </c>
      <c r="BF203" s="10"/>
      <c r="BG203" s="10"/>
      <c r="BH203" s="10"/>
      <c r="BI203" s="10"/>
      <c r="BJ203" s="10"/>
      <c r="BK203" t="str">
        <f>DEC2HEX(_xlfn.BITXOR(BIN2DEC((RIGHT(HEX2BIN(BE207,8)&amp;LEFT(HEX2BIN($A$1,8),1),8))),HEX2DEC(BE207)),2)</f>
        <v>39</v>
      </c>
      <c r="BL203" t="str">
        <f>BE208</f>
        <v>BE</v>
      </c>
      <c r="BM203">
        <f>BE209</f>
        <v>22</v>
      </c>
      <c r="BN203" t="str">
        <f>DEC2HEX(_xlfn.BITXOR(BIN2DEC(RIGHT(HEX2BIN(BE210,8)&amp;LEFT(HEX2BIN($A$1,8),1),8)),HEX2DEC($B$1)))</f>
        <v>41</v>
      </c>
      <c r="BO203" s="35"/>
    </row>
    <row r="204" spans="2:74" ht="15.75" x14ac:dyDescent="0.25">
      <c r="B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H204" s="76" t="s">
        <v>277</v>
      </c>
      <c r="AW204" s="116" t="s">
        <v>231</v>
      </c>
      <c r="AX204" s="116"/>
      <c r="AY204" s="116"/>
      <c r="AZ204" s="116"/>
      <c r="BF204" s="10"/>
      <c r="BG204" s="10"/>
      <c r="BH204" s="10"/>
      <c r="BI204" s="10"/>
      <c r="BJ204" s="10"/>
      <c r="BK204" s="10"/>
    </row>
    <row r="205" spans="2:74" x14ac:dyDescent="0.25">
      <c r="B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</row>
    <row r="206" spans="2:74" x14ac:dyDescent="0.25">
      <c r="B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H206" s="116" t="s">
        <v>249</v>
      </c>
      <c r="AI206" s="116"/>
      <c r="AJ206" s="116"/>
      <c r="AK206" s="116"/>
      <c r="AR206" s="116" t="s">
        <v>221</v>
      </c>
      <c r="AS206" s="116"/>
      <c r="AT206" s="116"/>
      <c r="AU206" s="116"/>
      <c r="AW206" s="116" t="s">
        <v>222</v>
      </c>
      <c r="AX206" s="116"/>
      <c r="AY206" s="116"/>
      <c r="AZ206" s="116"/>
      <c r="BB206" s="118" t="s">
        <v>224</v>
      </c>
      <c r="BC206" s="118"/>
      <c r="BD206" s="118"/>
      <c r="BE206" s="118"/>
      <c r="BF206" s="10"/>
      <c r="BG206" s="10"/>
      <c r="BH206" s="10"/>
      <c r="BI206" s="10"/>
      <c r="BJ206" s="10"/>
      <c r="BK206" s="10"/>
      <c r="BL206" s="116" t="s">
        <v>225</v>
      </c>
      <c r="BM206" s="116"/>
      <c r="BN206" s="116"/>
      <c r="BO206" s="116"/>
    </row>
    <row r="207" spans="2:74" x14ac:dyDescent="0.25">
      <c r="B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H207" s="14" t="str">
        <f>V9</f>
        <v>8B</v>
      </c>
      <c r="AI207" s="14" t="str">
        <f>Y9</f>
        <v>AC</v>
      </c>
      <c r="AJ207" s="14" t="str">
        <f>AB9</f>
        <v>32</v>
      </c>
      <c r="AK207" s="14" t="str">
        <f>AE9</f>
        <v>F1</v>
      </c>
      <c r="AM207" s="1" t="str">
        <f>BL165</f>
        <v>71</v>
      </c>
      <c r="AN207" s="35" t="str">
        <f t="shared" ref="AN207:AP210" si="139">BM165</f>
        <v>84</v>
      </c>
      <c r="AO207" s="35" t="str">
        <f t="shared" si="139"/>
        <v>E</v>
      </c>
      <c r="AP207" s="35" t="str">
        <f t="shared" si="139"/>
        <v>76</v>
      </c>
      <c r="AR207" s="35" t="str">
        <f>DEC2HEX(_xlfn.BITXOR(HEX2DEC(AH207),HEX2DEC(AM207)))</f>
        <v>FA</v>
      </c>
      <c r="AS207" s="35" t="str">
        <f t="shared" ref="AS207:AS210" si="140">DEC2HEX(_xlfn.BITXOR(HEX2DEC(AI207),HEX2DEC(AN207)))</f>
        <v>28</v>
      </c>
      <c r="AT207" s="35" t="str">
        <f t="shared" ref="AT207:AT210" si="141">DEC2HEX(_xlfn.BITXOR(HEX2DEC(AJ207),HEX2DEC(AO207)))</f>
        <v>3C</v>
      </c>
      <c r="AU207" s="35" t="str">
        <f t="shared" ref="AU207:AU210" si="142">DEC2HEX(_xlfn.BITXOR(HEX2DEC(AK207),HEX2DEC(AP207)))</f>
        <v>87</v>
      </c>
      <c r="AW207" s="1" t="s">
        <v>118</v>
      </c>
      <c r="AX207" s="1">
        <v>34</v>
      </c>
      <c r="AY207" s="1" t="s">
        <v>90</v>
      </c>
      <c r="AZ207" s="1">
        <v>17</v>
      </c>
      <c r="BB207" s="10" t="str">
        <f>AW207</f>
        <v>2D</v>
      </c>
      <c r="BC207" s="10">
        <f t="shared" ref="BC207" si="143">AX207</f>
        <v>34</v>
      </c>
      <c r="BD207" s="10" t="str">
        <f t="shared" ref="BD207" si="144">AY207</f>
        <v>EB</v>
      </c>
      <c r="BE207" s="28">
        <f t="shared" ref="BE207" si="145">AZ207</f>
        <v>17</v>
      </c>
      <c r="BF207" s="10"/>
      <c r="BG207" s="34">
        <v>2</v>
      </c>
      <c r="BH207" s="34">
        <v>3</v>
      </c>
      <c r="BI207" s="34">
        <v>1</v>
      </c>
      <c r="BJ207" s="34">
        <v>1</v>
      </c>
      <c r="BK207" s="10"/>
      <c r="BL207" s="44" t="str">
        <f>DEC2HEX(_xlfn.BITXOR(_xlfn.BITXOR(_xlfn.BITXOR(HEX2DEC(IF(AND(BG207=3,BB200=0),DEC2HEX(_xlfn.BITXOR(BIN2DEC((RIGHT(HEX2BIN(BB207,8)&amp;LEFT(HEX2BIN($A$1,8),1),8))),HEX2DEC(BB207)),2),IF(AND(BG207=2,BB200=0),BIN2HEX(RIGHT(HEX2BIN(BB207,8)&amp;LEFT(HEX2BIN($A$1,8),1),8)),IF(AND(BG207=2,BB200=1),DEC2HEX(_xlfn.BITXOR(BIN2DEC(RIGHT(HEX2BIN(BB207,8)&amp;LEFT(HEX2BIN($A$1,8),1),8)),HEX2DEC($B$1))),IF(AND(BG207=3,BB200=1),DEC2HEX(_xlfn.BITXOR(_xlfn.BITXOR(BIN2DEC(RIGHT(HEX2BIN(BB207,8)&amp;LEFT(HEX2BIN($A$1,8),1),8)),HEX2DEC($B$1)),HEX2DEC(BB207))),BB207))))),HEX2DEC(IF(AND(BH207=3,BB201=0),DEC2HEX(_xlfn.BITXOR(BIN2DEC((RIGHT(HEX2BIN(BB208,8)&amp;LEFT(HEX2BIN($A$1,8),1),8))),HEX2DEC(BB208)),2),IF(AND(BH207=2,BB201=0),BIN2HEX(RIGHT(HEX2BIN(BB208,8)&amp;LEFT(HEX2BIN($A$1,8),1),8)),IF(AND(BH207=2,BB201=1),DEC2HEX(_xlfn.BITXOR(BIN2DEC(RIGHT(HEX2BIN(BB208,8)&amp;LEFT(HEX2BIN($A$1,8),1),8)),HEX2DEC($B$1))),IF(AND(BH207=3,BB201=1),DEC2HEX(_xlfn.BITXOR(_xlfn.BITXOR(BIN2DEC(RIGHT(HEX2BIN(BB208,8)&amp;LEFT(HEX2BIN($A$1,8),1),8)),HEX2DEC($B$1)),HEX2DEC(BB208))),BB208)))))),HEX2DEC(IF(AND(BI207=3,BB202=0),DEC2HEX(_xlfn.BITXOR(BIN2DEC((RIGHT(HEX2BIN(BB209,8)&amp;LEFT(HEX2BIN($A$1,8),1),8))),HEX2DEC(BB209)),2),IF(AND(BI207=2,BB202=0),BIN2HEX(RIGHT(HEX2BIN(BB209,8)&amp;LEFT(HEX2BIN($A$1,8),1),8)),IF(AND(BI207=2,BB202=1),DEC2HEX(_xlfn.BITXOR(BIN2DEC(RIGHT(HEX2BIN(BB209,8)&amp;LEFT(HEX2BIN($A$1,8),1),8)),HEX2DEC($B$1))),IF(AND(BI207=3,BB202=1),DEC2HEX(_xlfn.BITXOR(_xlfn.BITXOR(BIN2DEC(RIGHT(HEX2BIN(BB209,8)&amp;LEFT(HEX2BIN($A$1,8),1),8)),HEX2DEC($B$1)),HEX2DEC(BB209))),BB209)))))),HEX2DEC(IF(AND(BJ207=3,BB203=0),DEC2HEX(_xlfn.BITXOR(BIN2DEC((RIGHT(HEX2BIN(BB210,8)&amp;LEFT(HEX2BIN($A$1,8),1),8))),HEX2DEC(BB210)),2),IF(AND(BJ207=2,BB203=0),BIN2HEX(RIGHT(HEX2BIN(BB210,8)&amp;LEFT(HEX2BIN($A$1,8),1),8)),IF(AND(BJ207=2,BB203=1),DEC2HEX(_xlfn.BITXOR(BIN2DEC(RIGHT(HEX2BIN(BB210,8)&amp;LEFT(HEX2BIN($A$1,8),1),8)),HEX2DEC($B$1))),IF(AND(BJ207=3,BB203=1),DEC2HEX(_xlfn.BITXOR(_xlfn.BITXOR(BIN2DEC(RIGHT(HEX2BIN(BB210,8)&amp;LEFT(HEX2BIN($A$1,8),1),8)),HEX2DEC($B$1)),HEX2DEC(BB210))),BB210)))))))</f>
        <v>47</v>
      </c>
      <c r="BM207" s="44" t="str">
        <f>DEC2HEX(_xlfn.BITXOR(_xlfn.BITXOR(_xlfn.BITXOR(HEX2DEC(IF(AND(BG207=3,BC200=0),DEC2HEX(_xlfn.BITXOR(BIN2DEC((RIGHT(HEX2BIN(BC207,8)&amp;LEFT(HEX2BIN($A$1,8),1),8))),HEX2DEC(BC207)),2),IF(AND(BG207=2,BC200=0),BIN2HEX(RIGHT(HEX2BIN(BC207,8)&amp;LEFT(HEX2BIN($A$1,8),1),8)),IF(AND(BG207=2,BC200=1),DEC2HEX(_xlfn.BITXOR(BIN2DEC(RIGHT(HEX2BIN(BC207,8)&amp;LEFT(HEX2BIN($A$1,8),1),8)),HEX2DEC($B$1))),IF(AND(BG207=3,BC200=1),DEC2HEX(_xlfn.BITXOR(_xlfn.BITXOR(BIN2DEC(RIGHT(HEX2BIN(BC207,8)&amp;LEFT(HEX2BIN($A$1,8),1),8)),HEX2DEC($B$1)),HEX2DEC(BC207))),BC207))))),HEX2DEC(IF(AND(BH207=3,BC201=0),DEC2HEX(_xlfn.BITXOR(BIN2DEC((RIGHT(HEX2BIN(BC208,8)&amp;LEFT(HEX2BIN($A$1,8),1),8))),HEX2DEC(BC208)),2),IF(AND(BH207=2,BC201=0),BIN2HEX(RIGHT(HEX2BIN(BC208,8)&amp;LEFT(HEX2BIN($A$1,8),1),8)),IF(AND(BH207=2,BC201=1),DEC2HEX(_xlfn.BITXOR(BIN2DEC(RIGHT(HEX2BIN(BC208,8)&amp;LEFT(HEX2BIN($A$1,8),1),8)),HEX2DEC($B$1))),IF(AND(BH207=3,BC201=1),DEC2HEX(_xlfn.BITXOR(_xlfn.BITXOR(BIN2DEC(RIGHT(HEX2BIN(BC208,8)&amp;LEFT(HEX2BIN($A$1,8),1),8)),HEX2DEC($B$1)),HEX2DEC(BC208))),BC208)))))),HEX2DEC(IF(AND(BI207=3,BC202=0),DEC2HEX(_xlfn.BITXOR(BIN2DEC((RIGHT(HEX2BIN(BC209,8)&amp;LEFT(HEX2BIN($A$1,8),1),8))),HEX2DEC(BC209)),2),IF(AND(BI207=2,BC202=0),BIN2HEX(RIGHT(HEX2BIN(BC209,8)&amp;LEFT(HEX2BIN($A$1,8),1),8)),IF(AND(BI207=2,BC202=1),DEC2HEX(_xlfn.BITXOR(BIN2DEC(RIGHT(HEX2BIN(BC209,8)&amp;LEFT(HEX2BIN($A$1,8),1),8)),HEX2DEC($B$1))),IF(AND(BI207=3,BC202=1),DEC2HEX(_xlfn.BITXOR(_xlfn.BITXOR(BIN2DEC(RIGHT(HEX2BIN(BC209,8)&amp;LEFT(HEX2BIN($A$1,8),1),8)),HEX2DEC($B$1)),HEX2DEC(BC209))),BC209)))))),HEX2DEC(IF(AND(BJ207=3,BC203=0),DEC2HEX(_xlfn.BITXOR(BIN2DEC((RIGHT(HEX2BIN(BC210,8)&amp;LEFT(HEX2BIN($A$1,8),1),8))),HEX2DEC(BC210)),2),IF(AND(BJ207=2,BC203=0),BIN2HEX(RIGHT(HEX2BIN(BC210,8)&amp;LEFT(HEX2BIN($A$1,8),1),8)),IF(AND(BJ207=2,BC203=1),DEC2HEX(_xlfn.BITXOR(BIN2DEC(RIGHT(HEX2BIN(BC210,8)&amp;LEFT(HEX2BIN($A$1,8),1),8)),HEX2DEC($B$1))),IF(AND(BJ207=3,BC203=1),DEC2HEX(_xlfn.BITXOR(_xlfn.BITXOR(BIN2DEC(RIGHT(HEX2BIN(BC210,8)&amp;LEFT(HEX2BIN($A$1,8),1),8)),HEX2DEC($B$1)),HEX2DEC(BC210))),BC210)))))))</f>
        <v>D6</v>
      </c>
      <c r="BN207" s="41" t="str">
        <f>DEC2HEX(_xlfn.BITXOR(_xlfn.BITXOR(_xlfn.BITXOR(HEX2DEC(IF(AND(BG207=3,BD200=0),DEC2HEX(_xlfn.BITXOR(BIN2DEC((RIGHT(HEX2BIN(BD207,8)&amp;LEFT(HEX2BIN($A$1,8),1),8))),HEX2DEC(BD207)),2),IF(AND(BG207=2,BD200=0),BIN2HEX(RIGHT(HEX2BIN(BD207,8)&amp;LEFT(HEX2BIN($A$1,8),1),8)),IF(AND(BG207=2,BD200=1),DEC2HEX(_xlfn.BITXOR(BIN2DEC(RIGHT(HEX2BIN(BD207,8)&amp;LEFT(HEX2BIN($A$1,8),1),8)),HEX2DEC($B$1))),IF(AND(BG207=3,BD200=1),DEC2HEX(_xlfn.BITXOR(_xlfn.BITXOR(BIN2DEC(RIGHT(HEX2BIN(BD207,8)&amp;LEFT(HEX2BIN($A$1,8),1),8)),HEX2DEC($B$1)),HEX2DEC(BD207))),BD207))))),HEX2DEC(IF(AND(BH207=3,BD201=0),DEC2HEX(_xlfn.BITXOR(BIN2DEC((RIGHT(HEX2BIN(BD208,8)&amp;LEFT(HEX2BIN($A$1,8),1),8))),HEX2DEC(BD208)),2),IF(AND(BH207=2,BD201=0),BIN2HEX(RIGHT(HEX2BIN(BD208,8)&amp;LEFT(HEX2BIN($A$1,8),1),8)),IF(AND(BH207=2,BD201=1),DEC2HEX(_xlfn.BITXOR(BIN2DEC(RIGHT(HEX2BIN(BD208,8)&amp;LEFT(HEX2BIN($A$1,8),1),8)),HEX2DEC($B$1))),IF(AND(BH207=3,BD201=1),DEC2HEX(_xlfn.BITXOR(_xlfn.BITXOR(BIN2DEC(RIGHT(HEX2BIN(BD208,8)&amp;LEFT(HEX2BIN($A$1,8),1),8)),HEX2DEC($B$1)),HEX2DEC(BD208))),BD208)))))),HEX2DEC(IF(AND(BI207=3,BD202=0),DEC2HEX(_xlfn.BITXOR(BIN2DEC((RIGHT(HEX2BIN(BD209,8)&amp;LEFT(HEX2BIN($A$1,8),1),8))),HEX2DEC(BD209)),2),IF(AND(BI207=2,BD202=0),BIN2HEX(RIGHT(HEX2BIN(BD209,8)&amp;LEFT(HEX2BIN($A$1,8),1),8)),IF(AND(BI207=2,BD202=1),DEC2HEX(_xlfn.BITXOR(BIN2DEC(RIGHT(HEX2BIN(BD209,8)&amp;LEFT(HEX2BIN($A$1,8),1),8)),HEX2DEC($B$1))),IF(AND(BI207=3,BD202=1),DEC2HEX(_xlfn.BITXOR(_xlfn.BITXOR(BIN2DEC(RIGHT(HEX2BIN(BD209,8)&amp;LEFT(HEX2BIN($A$1,8),1),8)),HEX2DEC($B$1)),HEX2DEC(BD209))),BD209)))))),HEX2DEC(IF(AND(BJ207=3,BD203=0),DEC2HEX(_xlfn.BITXOR(BIN2DEC((RIGHT(HEX2BIN(BD210,8)&amp;LEFT(HEX2BIN($A$1,8),1),8))),HEX2DEC(BD210)),2),IF(AND(BJ207=2,BD203=0),BIN2HEX(RIGHT(HEX2BIN(BD210,8)&amp;LEFT(HEX2BIN($A$1,8),1),8)),IF(AND(BJ207=2,BD203=1),DEC2HEX(_xlfn.BITXOR(BIN2DEC(RIGHT(HEX2BIN(BD210,8)&amp;LEFT(HEX2BIN($A$1,8),1),8)),HEX2DEC($B$1))),IF(AND(BJ207=3,BD203=1),DEC2HEX(_xlfn.BITXOR(_xlfn.BITXOR(BIN2DEC(RIGHT(HEX2BIN(BD210,8)&amp;LEFT(HEX2BIN($A$1,8),1),8)),HEX2DEC($B$1)),HEX2DEC(BD210))),BD210)))))))</f>
        <v>26</v>
      </c>
      <c r="BO207" s="44" t="str">
        <f>DEC2HEX(_xlfn.BITXOR(_xlfn.BITXOR(_xlfn.BITXOR(HEX2DEC(IF(AND(BG207=3,BE200=0),DEC2HEX(_xlfn.BITXOR(BIN2DEC((RIGHT(HEX2BIN(BE207,8)&amp;LEFT(HEX2BIN($A$1,8),1),8))),HEX2DEC(BE207)),2),IF(AND(BG207=2,BE200=0),BIN2HEX(RIGHT(HEX2BIN(BE207,8)&amp;LEFT(HEX2BIN($A$1,8),1),8)),IF(AND(BG207=2,BE200=1),DEC2HEX(_xlfn.BITXOR(BIN2DEC(RIGHT(HEX2BIN(BE207,8)&amp;LEFT(HEX2BIN($A$1,8),1),8)),HEX2DEC($B$1))),IF(AND(BG207=3,BE200=1),DEC2HEX(_xlfn.BITXOR(_xlfn.BITXOR(BIN2DEC(RIGHT(HEX2BIN(BE207,8)&amp;LEFT(HEX2BIN($A$1,8),1),8)),HEX2DEC($B$1)),HEX2DEC(BE207))),BE207))))),HEX2DEC(IF(AND(BH207=3,BE201=0),DEC2HEX(_xlfn.BITXOR(BIN2DEC((RIGHT(HEX2BIN(BE208,8)&amp;LEFT(HEX2BIN($A$1,8),1),8))),HEX2DEC(BE208)),2),IF(AND(BH207=2,BE201=0),BIN2HEX(RIGHT(HEX2BIN(BE208,8)&amp;LEFT(HEX2BIN($A$1,8),1),8)),IF(AND(BH207=2,BE201=1),DEC2HEX(_xlfn.BITXOR(BIN2DEC(RIGHT(HEX2BIN(BE208,8)&amp;LEFT(HEX2BIN($A$1,8),1),8)),HEX2DEC($B$1))),IF(AND(BH207=3,BE201=1),DEC2HEX(_xlfn.BITXOR(_xlfn.BITXOR(BIN2DEC(RIGHT(HEX2BIN(BE208,8)&amp;LEFT(HEX2BIN($A$1,8),1),8)),HEX2DEC($B$1)),HEX2DEC(BE208))),BE208)))))),HEX2DEC(IF(AND(BI207=3,BE202=0),DEC2HEX(_xlfn.BITXOR(BIN2DEC((RIGHT(HEX2BIN(BE209,8)&amp;LEFT(HEX2BIN($A$1,8),1),8))),HEX2DEC(BE209)),2),IF(AND(BI207=2,BE202=0),BIN2HEX(RIGHT(HEX2BIN(BE209,8)&amp;LEFT(HEX2BIN($A$1,8),1),8)),IF(AND(BI207=2,BE202=1),DEC2HEX(_xlfn.BITXOR(BIN2DEC(RIGHT(HEX2BIN(BE209,8)&amp;LEFT(HEX2BIN($A$1,8),1),8)),HEX2DEC($B$1))),IF(AND(BI207=3,BE202=1),DEC2HEX(_xlfn.BITXOR(_xlfn.BITXOR(BIN2DEC(RIGHT(HEX2BIN(BE209,8)&amp;LEFT(HEX2BIN($A$1,8),1),8)),HEX2DEC($B$1)),HEX2DEC(BE209))),BE209)))))),HEX2DEC(IF(AND(BJ207=3,BE203=0),DEC2HEX(_xlfn.BITXOR(BIN2DEC((RIGHT(HEX2BIN(BE210,8)&amp;LEFT(HEX2BIN($A$1,8),1),8))),HEX2DEC(BE210)),2),IF(AND(BJ207=2,BE203=0),BIN2HEX(RIGHT(HEX2BIN(BE210,8)&amp;LEFT(HEX2BIN($A$1,8),1),8)),IF(AND(BJ207=2,BE203=1),DEC2HEX(_xlfn.BITXOR(BIN2DEC(RIGHT(HEX2BIN(BE210,8)&amp;LEFT(HEX2BIN($A$1,8),1),8)),HEX2DEC($B$1))),IF(AND(BJ207=3,BE203=1),DEC2HEX(_xlfn.BITXOR(_xlfn.BITXOR(BIN2DEC(RIGHT(HEX2BIN(BE210,8)&amp;LEFT(HEX2BIN($A$1,8),1),8)),HEX2DEC($B$1)),HEX2DEC(BE210))),BE210)))))))</f>
        <v>F8</v>
      </c>
      <c r="BS207" s="44" t="s">
        <v>156</v>
      </c>
      <c r="BT207" s="44">
        <v>62</v>
      </c>
      <c r="BU207" s="44">
        <v>82</v>
      </c>
      <c r="BV207" s="44" t="s">
        <v>163</v>
      </c>
    </row>
    <row r="208" spans="2:74" x14ac:dyDescent="0.25">
      <c r="B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H208" s="14" t="str">
        <f t="shared" ref="AH208:AH210" si="146">V10</f>
        <v>B3</v>
      </c>
      <c r="AI208" s="14" t="str">
        <f t="shared" ref="AI208:AI210" si="147">Y10</f>
        <v>E6</v>
      </c>
      <c r="AJ208" s="14" t="str">
        <f t="shared" ref="AJ208:AJ210" si="148">AB10</f>
        <v>14</v>
      </c>
      <c r="AK208" s="14" t="str">
        <f t="shared" ref="AK208:AK210" si="149">AE10</f>
        <v>C4</v>
      </c>
      <c r="AM208" s="35" t="str">
        <f t="shared" ref="AM208:AM210" si="150">BL166</f>
        <v>E9</v>
      </c>
      <c r="AN208" s="35" t="str">
        <f t="shared" si="139"/>
        <v>6D</v>
      </c>
      <c r="AO208" s="35" t="str">
        <f t="shared" si="139"/>
        <v>5B</v>
      </c>
      <c r="AP208" s="35" t="str">
        <f t="shared" si="139"/>
        <v>84</v>
      </c>
      <c r="AR208" s="35" t="str">
        <f t="shared" ref="AR208:AR210" si="151">DEC2HEX(_xlfn.BITXOR(HEX2DEC(AH208),HEX2DEC(AM208)))</f>
        <v>5A</v>
      </c>
      <c r="AS208" s="35" t="str">
        <f t="shared" si="140"/>
        <v>8B</v>
      </c>
      <c r="AT208" s="35" t="str">
        <f t="shared" si="141"/>
        <v>4F</v>
      </c>
      <c r="AU208" s="35" t="str">
        <f t="shared" si="142"/>
        <v>40</v>
      </c>
      <c r="AW208" s="1" t="s">
        <v>134</v>
      </c>
      <c r="AX208" s="1" t="s">
        <v>267</v>
      </c>
      <c r="AY208" s="1">
        <v>84</v>
      </c>
      <c r="AZ208" s="1">
        <v>9</v>
      </c>
      <c r="BB208" s="10" t="str">
        <f>AX208</f>
        <v>3D</v>
      </c>
      <c r="BC208" s="10">
        <f t="shared" ref="BC208" si="152">AY208</f>
        <v>84</v>
      </c>
      <c r="BD208" s="10">
        <f t="shared" ref="BD208" si="153">AZ208</f>
        <v>9</v>
      </c>
      <c r="BE208" s="29" t="str">
        <f>AW208</f>
        <v>BE</v>
      </c>
      <c r="BF208" s="10"/>
      <c r="BG208" s="34">
        <v>1</v>
      </c>
      <c r="BH208" s="34">
        <v>2</v>
      </c>
      <c r="BI208" s="34">
        <v>3</v>
      </c>
      <c r="BJ208" s="34">
        <v>1</v>
      </c>
      <c r="BK208" s="10"/>
      <c r="BL208" s="44" t="str">
        <f>DEC2HEX(_xlfn.BITXOR(_xlfn.BITXOR(_xlfn.BITXOR(HEX2DEC(IF(AND(BG208=3,BB200=0),DEC2HEX(_xlfn.BITXOR(BIN2DEC((RIGHT(HEX2BIN(BB207,8)&amp;LEFT(HEX2BIN($A$1,8),1),8))),HEX2DEC(BB207)),2),IF(AND(BG208=2,BB200=0),BIN2HEX(RIGHT(HEX2BIN(BB207,8)&amp;LEFT(HEX2BIN($A$1,8),1),8)),IF(AND(BG208=2,BB200=1),DEC2HEX(_xlfn.BITXOR(BIN2DEC(RIGHT(HEX2BIN(BB207,8)&amp;LEFT(HEX2BIN($A$1,8),1),8)),HEX2DEC($B$1))),IF(AND(BG208=3,BB200=1),DEC2HEX(_xlfn.BITXOR(_xlfn.BITXOR(BIN2DEC(RIGHT(HEX2BIN(BB207,8)&amp;LEFT(HEX2BIN($A$1,8),1),8)),HEX2DEC($B$1)),HEX2DEC(BB207))),BB207))))),HEX2DEC(IF(AND(BH208=3,BB201=0),DEC2HEX(_xlfn.BITXOR(BIN2DEC((RIGHT(HEX2BIN(BB208,8)&amp;LEFT(HEX2BIN($A$1,8),1),8))),HEX2DEC(BB208)),2),IF(AND(BH208=2,BB201=0),BIN2HEX(RIGHT(HEX2BIN(BB208,8)&amp;LEFT(HEX2BIN($A$1,8),1),8)),IF(AND(BH208=2,BB201=1),DEC2HEX(_xlfn.BITXOR(BIN2DEC(RIGHT(HEX2BIN(BB208,8)&amp;LEFT(HEX2BIN($A$1,8),1),8)),HEX2DEC($B$1))),IF(AND(BH208=3,BB201=1),DEC2HEX(_xlfn.BITXOR(_xlfn.BITXOR(BIN2DEC(RIGHT(HEX2BIN(BB208,8)&amp;LEFT(HEX2BIN($A$1,8),1),8)),HEX2DEC($B$1)),HEX2DEC(BB208))),BB208)))))),HEX2DEC(IF(AND(BI208=3,BB202=0),DEC2HEX(_xlfn.BITXOR(BIN2DEC((RIGHT(HEX2BIN(BB209,8)&amp;LEFT(HEX2BIN($A$1,8),1),8))),HEX2DEC(BB209)),2),IF(AND(BI208=2,BB202=0),BIN2HEX(RIGHT(HEX2BIN(BB209,8)&amp;LEFT(HEX2BIN($A$1,8),1),8)),IF(AND(BI208=2,BB202=1),DEC2HEX(_xlfn.BITXOR(BIN2DEC(RIGHT(HEX2BIN(BB209,8)&amp;LEFT(HEX2BIN($A$1,8),1),8)),HEX2DEC($B$1))),IF(AND(BI208=3,BB202=1),DEC2HEX(_xlfn.BITXOR(_xlfn.BITXOR(BIN2DEC(RIGHT(HEX2BIN(BB209,8)&amp;LEFT(HEX2BIN($A$1,8),1),8)),HEX2DEC($B$1)),HEX2DEC(BB209))),BB209)))))),HEX2DEC(IF(AND(BJ208=3,BB203=0),DEC2HEX(_xlfn.BITXOR(BIN2DEC((RIGHT(HEX2BIN(BB210,8)&amp;LEFT(HEX2BIN($A$1,8),1),8))),HEX2DEC(BB210)),2),IF(AND(BJ208=2,BB203=0),BIN2HEX(RIGHT(HEX2BIN(BB210,8)&amp;LEFT(HEX2BIN($A$1,8),1),8)),IF(AND(BJ208=2,BB203=1),DEC2HEX(_xlfn.BITXOR(BIN2DEC(RIGHT(HEX2BIN(BB210,8)&amp;LEFT(HEX2BIN($A$1,8),1),8)),HEX2DEC($B$1))),IF(AND(BJ208=3,BB203=1),DEC2HEX(_xlfn.BITXOR(_xlfn.BITXOR(BIN2DEC(RIGHT(HEX2BIN(BB210,8)&amp;LEFT(HEX2BIN($A$1,8),1),8)),HEX2DEC($B$1)),HEX2DEC(BB210))),BB210)))))))</f>
        <v>E6</v>
      </c>
      <c r="BM208" s="44" t="str">
        <f>DEC2HEX(_xlfn.BITXOR(_xlfn.BITXOR(_xlfn.BITXOR(HEX2DEC(IF(AND(BG208=3,BC200=0),DEC2HEX(_xlfn.BITXOR(BIN2DEC((RIGHT(HEX2BIN(BC207,8)&amp;LEFT(HEX2BIN($A$1,8),1),8))),HEX2DEC(BC207)),2),IF(AND(BG208=2,BC200=0),BIN2HEX(RIGHT(HEX2BIN(BC207,8)&amp;LEFT(HEX2BIN($A$1,8),1),8)),IF(AND(BG208=2,BC200=1),DEC2HEX(_xlfn.BITXOR(BIN2DEC(RIGHT(HEX2BIN(BC207,8)&amp;LEFT(HEX2BIN($A$1,8),1),8)),HEX2DEC($B$1))),IF(AND(BG208=3,BC200=1),DEC2HEX(_xlfn.BITXOR(_xlfn.BITXOR(BIN2DEC(RIGHT(HEX2BIN(BC207,8)&amp;LEFT(HEX2BIN($A$1,8),1),8)),HEX2DEC($B$1)),HEX2DEC(BC207))),BC207))))),HEX2DEC(IF(AND(BH208=3,BC201=0),DEC2HEX(_xlfn.BITXOR(BIN2DEC((RIGHT(HEX2BIN(BC208,8)&amp;LEFT(HEX2BIN($A$1,8),1),8))),HEX2DEC(BC208)),2),IF(AND(BH208=2,BC201=0),BIN2HEX(RIGHT(HEX2BIN(BC208,8)&amp;LEFT(HEX2BIN($A$1,8),1),8)),IF(AND(BH208=2,BC201=1),DEC2HEX(_xlfn.BITXOR(BIN2DEC(RIGHT(HEX2BIN(BC208,8)&amp;LEFT(HEX2BIN($A$1,8),1),8)),HEX2DEC($B$1))),IF(AND(BH208=3,BC201=1),DEC2HEX(_xlfn.BITXOR(_xlfn.BITXOR(BIN2DEC(RIGHT(HEX2BIN(BC208,8)&amp;LEFT(HEX2BIN($A$1,8),1),8)),HEX2DEC($B$1)),HEX2DEC(BC208))),BC208)))))),HEX2DEC(IF(AND(BI208=3,BC202=0),DEC2HEX(_xlfn.BITXOR(BIN2DEC((RIGHT(HEX2BIN(BC209,8)&amp;LEFT(HEX2BIN($A$1,8),1),8))),HEX2DEC(BC209)),2),IF(AND(BI208=2,BC202=0),BIN2HEX(RIGHT(HEX2BIN(BC209,8)&amp;LEFT(HEX2BIN($A$1,8),1),8)),IF(AND(BI208=2,BC202=1),DEC2HEX(_xlfn.BITXOR(BIN2DEC(RIGHT(HEX2BIN(BC209,8)&amp;LEFT(HEX2BIN($A$1,8),1),8)),HEX2DEC($B$1))),IF(AND(BI208=3,BC202=1),DEC2HEX(_xlfn.BITXOR(_xlfn.BITXOR(BIN2DEC(RIGHT(HEX2BIN(BC209,8)&amp;LEFT(HEX2BIN($A$1,8),1),8)),HEX2DEC($B$1)),HEX2DEC(BC209))),BC209)))))),HEX2DEC(IF(AND(BJ208=3,BC203=0),DEC2HEX(_xlfn.BITXOR(BIN2DEC((RIGHT(HEX2BIN(BC210,8)&amp;LEFT(HEX2BIN($A$1,8),1),8))),HEX2DEC(BC210)),2),IF(AND(BJ208=2,BC203=0),BIN2HEX(RIGHT(HEX2BIN(BC210,8)&amp;LEFT(HEX2BIN($A$1,8),1),8)),IF(AND(BJ208=2,BC203=1),DEC2HEX(_xlfn.BITXOR(BIN2DEC(RIGHT(HEX2BIN(BC210,8)&amp;LEFT(HEX2BIN($A$1,8),1),8)),HEX2DEC($B$1))),IF(AND(BJ208=3,BC203=1),DEC2HEX(_xlfn.BITXOR(_xlfn.BITXOR(BIN2DEC(RIGHT(HEX2BIN(BC210,8)&amp;LEFT(HEX2BIN($A$1,8),1),8)),HEX2DEC($B$1)),HEX2DEC(BC210))),BC210)))))))</f>
        <v>E3</v>
      </c>
      <c r="BN208" s="44" t="str">
        <f>DEC2HEX(_xlfn.BITXOR(_xlfn.BITXOR(_xlfn.BITXOR(HEX2DEC(IF(AND(BG208=3,BD200=0),DEC2HEX(_xlfn.BITXOR(BIN2DEC((RIGHT(HEX2BIN(BD207,8)&amp;LEFT(HEX2BIN($A$1,8),1),8))),HEX2DEC(BD207)),2),IF(AND(BG208=2,BD200=0),BIN2HEX(RIGHT(HEX2BIN(BD207,8)&amp;LEFT(HEX2BIN($A$1,8),1),8)),IF(AND(BG208=2,BD200=1),DEC2HEX(_xlfn.BITXOR(BIN2DEC(RIGHT(HEX2BIN(BD207,8)&amp;LEFT(HEX2BIN($A$1,8),1),8)),HEX2DEC($B$1))),IF(AND(BG208=3,BD200=1),DEC2HEX(_xlfn.BITXOR(_xlfn.BITXOR(BIN2DEC(RIGHT(HEX2BIN(BD207,8)&amp;LEFT(HEX2BIN($A$1,8),1),8)),HEX2DEC($B$1)),HEX2DEC(BD207))),BD207))))),HEX2DEC(IF(AND(BH208=3,BD201=0),DEC2HEX(_xlfn.BITXOR(BIN2DEC((RIGHT(HEX2BIN(BD208,8)&amp;LEFT(HEX2BIN($A$1,8),1),8))),HEX2DEC(BD208)),2),IF(AND(BH208=2,BD201=0),BIN2HEX(RIGHT(HEX2BIN(BD208,8)&amp;LEFT(HEX2BIN($A$1,8),1),8)),IF(AND(BH208=2,BD201=1),DEC2HEX(_xlfn.BITXOR(BIN2DEC(RIGHT(HEX2BIN(BD208,8)&amp;LEFT(HEX2BIN($A$1,8),1),8)),HEX2DEC($B$1))),IF(AND(BH208=3,BD201=1),DEC2HEX(_xlfn.BITXOR(_xlfn.BITXOR(BIN2DEC(RIGHT(HEX2BIN(BD208,8)&amp;LEFT(HEX2BIN($A$1,8),1),8)),HEX2DEC($B$1)),HEX2DEC(BD208))),BD208)))))),HEX2DEC(IF(AND(BI208=3,BD202=0),DEC2HEX(_xlfn.BITXOR(BIN2DEC((RIGHT(HEX2BIN(BD209,8)&amp;LEFT(HEX2BIN($A$1,8),1),8))),HEX2DEC(BD209)),2),IF(AND(BI208=2,BD202=0),BIN2HEX(RIGHT(HEX2BIN(BD209,8)&amp;LEFT(HEX2BIN($A$1,8),1),8)),IF(AND(BI208=2,BD202=1),DEC2HEX(_xlfn.BITXOR(BIN2DEC(RIGHT(HEX2BIN(BD209,8)&amp;LEFT(HEX2BIN($A$1,8),1),8)),HEX2DEC($B$1))),IF(AND(BI208=3,BD202=1),DEC2HEX(_xlfn.BITXOR(_xlfn.BITXOR(BIN2DEC(RIGHT(HEX2BIN(BD209,8)&amp;LEFT(HEX2BIN($A$1,8),1),8)),HEX2DEC($B$1)),HEX2DEC(BD209))),BD209)))))),HEX2DEC(IF(AND(BJ208=3,BD203=0),DEC2HEX(_xlfn.BITXOR(BIN2DEC((RIGHT(HEX2BIN(BD210,8)&amp;LEFT(HEX2BIN($A$1,8),1),8))),HEX2DEC(BD210)),2),IF(AND(BJ208=2,BD203=0),BIN2HEX(RIGHT(HEX2BIN(BD210,8)&amp;LEFT(HEX2BIN($A$1,8),1),8)),IF(AND(BJ208=2,BD203=1),DEC2HEX(_xlfn.BITXOR(BIN2DEC(RIGHT(HEX2BIN(BD210,8)&amp;LEFT(HEX2BIN($A$1,8),1),8)),HEX2DEC($B$1))),IF(AND(BJ208=3,BD203=1),DEC2HEX(_xlfn.BITXOR(_xlfn.BITXOR(BIN2DEC(RIGHT(HEX2BIN(BD210,8)&amp;LEFT(HEX2BIN($A$1,8),1),8)),HEX2DEC($B$1)),HEX2DEC(BD210))),BD210)))))))</f>
        <v>63</v>
      </c>
      <c r="BO208" s="44" t="str">
        <f>DEC2HEX(_xlfn.BITXOR(_xlfn.BITXOR(_xlfn.BITXOR(HEX2DEC(IF(AND(BG208=3,BE200=0),DEC2HEX(_xlfn.BITXOR(BIN2DEC((RIGHT(HEX2BIN(BE207,8)&amp;LEFT(HEX2BIN($A$1,8),1),8))),HEX2DEC(BE207)),2),IF(AND(BG208=2,BE200=0),BIN2HEX(RIGHT(HEX2BIN(BE207,8)&amp;LEFT(HEX2BIN($A$1,8),1),8)),IF(AND(BG208=2,BE200=1),DEC2HEX(_xlfn.BITXOR(BIN2DEC(RIGHT(HEX2BIN(BE207,8)&amp;LEFT(HEX2BIN($A$1,8),1),8)),HEX2DEC($B$1))),IF(AND(BG208=3,BE200=1),DEC2HEX(_xlfn.BITXOR(_xlfn.BITXOR(BIN2DEC(RIGHT(HEX2BIN(BE207,8)&amp;LEFT(HEX2BIN($A$1,8),1),8)),HEX2DEC($B$1)),HEX2DEC(BE207))),BE207))))),HEX2DEC(IF(AND(BH208=3,BE201=0),DEC2HEX(_xlfn.BITXOR(BIN2DEC((RIGHT(HEX2BIN(BE208,8)&amp;LEFT(HEX2BIN($A$1,8),1),8))),HEX2DEC(BE208)),2),IF(AND(BH208=2,BE201=0),BIN2HEX(RIGHT(HEX2BIN(BE208,8)&amp;LEFT(HEX2BIN($A$1,8),1),8)),IF(AND(BH208=2,BE201=1),DEC2HEX(_xlfn.BITXOR(BIN2DEC(RIGHT(HEX2BIN(BE208,8)&amp;LEFT(HEX2BIN($A$1,8),1),8)),HEX2DEC($B$1))),IF(AND(BH208=3,BE201=1),DEC2HEX(_xlfn.BITXOR(_xlfn.BITXOR(BIN2DEC(RIGHT(HEX2BIN(BE208,8)&amp;LEFT(HEX2BIN($A$1,8),1),8)),HEX2DEC($B$1)),HEX2DEC(BE208))),BE208)))))),HEX2DEC(IF(AND(BI208=3,BE202=0),DEC2HEX(_xlfn.BITXOR(BIN2DEC((RIGHT(HEX2BIN(BE209,8)&amp;LEFT(HEX2BIN($A$1,8),1),8))),HEX2DEC(BE209)),2),IF(AND(BI208=2,BE202=0),BIN2HEX(RIGHT(HEX2BIN(BE209,8)&amp;LEFT(HEX2BIN($A$1,8),1),8)),IF(AND(BI208=2,BE202=1),DEC2HEX(_xlfn.BITXOR(BIN2DEC(RIGHT(HEX2BIN(BE209,8)&amp;LEFT(HEX2BIN($A$1,8),1),8)),HEX2DEC($B$1))),IF(AND(BI208=3,BE202=1),DEC2HEX(_xlfn.BITXOR(_xlfn.BITXOR(BIN2DEC(RIGHT(HEX2BIN(BE209,8)&amp;LEFT(HEX2BIN($A$1,8),1),8)),HEX2DEC($B$1)),HEX2DEC(BE209))),BE209)))))),HEX2DEC(IF(AND(BJ208=3,BE203=0),DEC2HEX(_xlfn.BITXOR(BIN2DEC((RIGHT(HEX2BIN(BE210,8)&amp;LEFT(HEX2BIN($A$1,8),1),8))),HEX2DEC(BE210)),2),IF(AND(BJ208=2,BE203=0),BIN2HEX(RIGHT(HEX2BIN(BE210,8)&amp;LEFT(HEX2BIN($A$1,8),1),8)),IF(AND(BJ208=2,BE203=1),DEC2HEX(_xlfn.BITXOR(BIN2DEC(RIGHT(HEX2BIN(BE210,8)&amp;LEFT(HEX2BIN($A$1,8),1),8)),HEX2DEC($B$1))),IF(AND(BJ208=3,BE203=1),DEC2HEX(_xlfn.BITXOR(_xlfn.BITXOR(BIN2DEC(RIGHT(HEX2BIN(BE210,8)&amp;LEFT(HEX2BIN($A$1,8),1),8)),HEX2DEC($B$1)),HEX2DEC(BE210))),BE210)))))))</f>
        <v>3B</v>
      </c>
      <c r="BS208" s="44">
        <v>15</v>
      </c>
      <c r="BT208" s="44">
        <v>98</v>
      </c>
      <c r="BU208" s="44" t="s">
        <v>112</v>
      </c>
      <c r="BV208" s="44">
        <v>79</v>
      </c>
    </row>
    <row r="209" spans="2:74" x14ac:dyDescent="0.25">
      <c r="B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H209" s="14" t="str">
        <f t="shared" si="146"/>
        <v>A7</v>
      </c>
      <c r="AI209" s="14" t="str">
        <f t="shared" si="147"/>
        <v>7C</v>
      </c>
      <c r="AJ209" s="14" t="str">
        <f t="shared" si="148"/>
        <v>80</v>
      </c>
      <c r="AK209" s="14" t="str">
        <f t="shared" si="149"/>
        <v>7E</v>
      </c>
      <c r="AM209" s="35" t="str">
        <f t="shared" si="150"/>
        <v>7E</v>
      </c>
      <c r="AN209" s="35" t="str">
        <f t="shared" si="139"/>
        <v>E8</v>
      </c>
      <c r="AO209" s="35" t="str">
        <f t="shared" si="139"/>
        <v>61</v>
      </c>
      <c r="AP209" s="35" t="str">
        <f t="shared" si="139"/>
        <v>1D</v>
      </c>
      <c r="AR209" s="35" t="str">
        <f t="shared" si="151"/>
        <v>D9</v>
      </c>
      <c r="AS209" s="35" t="str">
        <f t="shared" si="140"/>
        <v>94</v>
      </c>
      <c r="AT209" s="35" t="str">
        <f t="shared" si="141"/>
        <v>E1</v>
      </c>
      <c r="AU209" s="35" t="str">
        <f t="shared" si="142"/>
        <v>63</v>
      </c>
      <c r="AW209" s="1">
        <v>35</v>
      </c>
      <c r="AX209" s="1">
        <v>22</v>
      </c>
      <c r="AY209" s="1" t="s">
        <v>207</v>
      </c>
      <c r="AZ209" s="1" t="s">
        <v>172</v>
      </c>
      <c r="BB209" s="10" t="str">
        <f>AY209</f>
        <v>F8</v>
      </c>
      <c r="BC209" s="10" t="str">
        <f>AZ209</f>
        <v>FB</v>
      </c>
      <c r="BD209" s="10">
        <f>AW209</f>
        <v>35</v>
      </c>
      <c r="BE209" s="22">
        <f>AX209</f>
        <v>22</v>
      </c>
      <c r="BF209" s="10"/>
      <c r="BG209" s="34">
        <v>1</v>
      </c>
      <c r="BH209" s="34">
        <v>1</v>
      </c>
      <c r="BI209" s="34">
        <v>2</v>
      </c>
      <c r="BJ209" s="34">
        <v>3</v>
      </c>
      <c r="BK209" s="10"/>
      <c r="BL209" s="44" t="str">
        <f>DEC2HEX(_xlfn.BITXOR(_xlfn.BITXOR(_xlfn.BITXOR(HEX2DEC(IF(AND(BG209=3,BB200=0),DEC2HEX(_xlfn.BITXOR(BIN2DEC((RIGHT(HEX2BIN(BB207,8)&amp;LEFT(HEX2BIN($A$1,8),1),8))),HEX2DEC(BB207)),2),IF(AND(BG209=2,BB200=0),BIN2HEX(RIGHT(HEX2BIN(BB207,8)&amp;LEFT(HEX2BIN($A$1,8),1),8)),IF(AND(BG209=2,BB200=1),DEC2HEX(_xlfn.BITXOR(BIN2DEC(RIGHT(HEX2BIN(BB207,8)&amp;LEFT(HEX2BIN($A$1,8),1),8)),HEX2DEC($B$1))),IF(AND(BG209=3,BB200=1),DEC2HEX(_xlfn.BITXOR(_xlfn.BITXOR(BIN2DEC(RIGHT(HEX2BIN(BB207,8)&amp;LEFT(HEX2BIN($A$1,8),1),8)),HEX2DEC($B$1)),HEX2DEC(BB207))),BB207))))),HEX2DEC(IF(AND(BH209=3,BB201=0),DEC2HEX(_xlfn.BITXOR(BIN2DEC((RIGHT(HEX2BIN(BB208,8)&amp;LEFT(HEX2BIN($A$1,8),1),8))),HEX2DEC(BB208)),2),IF(AND(BH209=2,BB201=0),BIN2HEX(RIGHT(HEX2BIN(BB208,8)&amp;LEFT(HEX2BIN($A$1,8),1),8)),IF(AND(BH209=2,BB201=1),DEC2HEX(_xlfn.BITXOR(BIN2DEC(RIGHT(HEX2BIN(BB208,8)&amp;LEFT(HEX2BIN($A$1,8),1),8)),HEX2DEC($B$1))),IF(AND(BH209=3,BB201=1),DEC2HEX(_xlfn.BITXOR(_xlfn.BITXOR(BIN2DEC(RIGHT(HEX2BIN(BB208,8)&amp;LEFT(HEX2BIN($A$1,8),1),8)),HEX2DEC($B$1)),HEX2DEC(BB208))),BB208)))))),HEX2DEC(IF(AND(BI209=3,BB202=0),DEC2HEX(_xlfn.BITXOR(BIN2DEC((RIGHT(HEX2BIN(BB209,8)&amp;LEFT(HEX2BIN($A$1,8),1),8))),HEX2DEC(BB209)),2),IF(AND(BI209=2,BB202=0),BIN2HEX(RIGHT(HEX2BIN(BB209,8)&amp;LEFT(HEX2BIN($A$1,8),1),8)),IF(AND(BI209=2,BB202=1),DEC2HEX(_xlfn.BITXOR(BIN2DEC(RIGHT(HEX2BIN(BB209,8)&amp;LEFT(HEX2BIN($A$1,8),1),8)),HEX2DEC($B$1))),IF(AND(BI209=3,BB202=1),DEC2HEX(_xlfn.BITXOR(_xlfn.BITXOR(BIN2DEC(RIGHT(HEX2BIN(BB209,8)&amp;LEFT(HEX2BIN($A$1,8),1),8)),HEX2DEC($B$1)),HEX2DEC(BB209))),BB209)))))),HEX2DEC(IF(AND(BJ209=3,BB203=0),DEC2HEX(_xlfn.BITXOR(BIN2DEC((RIGHT(HEX2BIN(BB210,8)&amp;LEFT(HEX2BIN($A$1,8),1),8))),HEX2DEC(BB210)),2),IF(AND(BJ209=2,BB203=0),BIN2HEX(RIGHT(HEX2BIN(BB210,8)&amp;LEFT(HEX2BIN($A$1,8),1),8)),IF(AND(BJ209=2,BB203=1),DEC2HEX(_xlfn.BITXOR(BIN2DEC(RIGHT(HEX2BIN(BB210,8)&amp;LEFT(HEX2BIN($A$1,8),1),8)),HEX2DEC($B$1))),IF(AND(BJ209=3,BB203=1),DEC2HEX(_xlfn.BITXOR(_xlfn.BITXOR(BIN2DEC(RIGHT(HEX2BIN(BB210,8)&amp;LEFT(HEX2BIN($A$1,8),1),8)),HEX2DEC($B$1)),HEX2DEC(BB210))),BB210)))))))</f>
        <v>6</v>
      </c>
      <c r="BM209" s="44" t="str">
        <f>DEC2HEX(_xlfn.BITXOR(_xlfn.BITXOR(_xlfn.BITXOR(HEX2DEC(IF(AND(BG209=3,BC200=0),DEC2HEX(_xlfn.BITXOR(BIN2DEC((RIGHT(HEX2BIN(BC207,8)&amp;LEFT(HEX2BIN($A$1,8),1),8))),HEX2DEC(BC207)),2),IF(AND(BG209=2,BC200=0),BIN2HEX(RIGHT(HEX2BIN(BC207,8)&amp;LEFT(HEX2BIN($A$1,8),1),8)),IF(AND(BG209=2,BC200=1),DEC2HEX(_xlfn.BITXOR(BIN2DEC(RIGHT(HEX2BIN(BC207,8)&amp;LEFT(HEX2BIN($A$1,8),1),8)),HEX2DEC($B$1))),IF(AND(BG209=3,BC200=1),DEC2HEX(_xlfn.BITXOR(_xlfn.BITXOR(BIN2DEC(RIGHT(HEX2BIN(BC207,8)&amp;LEFT(HEX2BIN($A$1,8),1),8)),HEX2DEC($B$1)),HEX2DEC(BC207))),BC207))))),HEX2DEC(IF(AND(BH209=3,BC201=0),DEC2HEX(_xlfn.BITXOR(BIN2DEC((RIGHT(HEX2BIN(BC208,8)&amp;LEFT(HEX2BIN($A$1,8),1),8))),HEX2DEC(BC208)),2),IF(AND(BH209=2,BC201=0),BIN2HEX(RIGHT(HEX2BIN(BC208,8)&amp;LEFT(HEX2BIN($A$1,8),1),8)),IF(AND(BH209=2,BC201=1),DEC2HEX(_xlfn.BITXOR(BIN2DEC(RIGHT(HEX2BIN(BC208,8)&amp;LEFT(HEX2BIN($A$1,8),1),8)),HEX2DEC($B$1))),IF(AND(BH209=3,BC201=1),DEC2HEX(_xlfn.BITXOR(_xlfn.BITXOR(BIN2DEC(RIGHT(HEX2BIN(BC208,8)&amp;LEFT(HEX2BIN($A$1,8),1),8)),HEX2DEC($B$1)),HEX2DEC(BC208))),BC208)))))),HEX2DEC(IF(AND(BI209=3,BC202=0),DEC2HEX(_xlfn.BITXOR(BIN2DEC((RIGHT(HEX2BIN(BC209,8)&amp;LEFT(HEX2BIN($A$1,8),1),8))),HEX2DEC(BC209)),2),IF(AND(BI209=2,BC202=0),BIN2HEX(RIGHT(HEX2BIN(BC209,8)&amp;LEFT(HEX2BIN($A$1,8),1),8)),IF(AND(BI209=2,BC202=1),DEC2HEX(_xlfn.BITXOR(BIN2DEC(RIGHT(HEX2BIN(BC209,8)&amp;LEFT(HEX2BIN($A$1,8),1),8)),HEX2DEC($B$1))),IF(AND(BI209=3,BC202=1),DEC2HEX(_xlfn.BITXOR(_xlfn.BITXOR(BIN2DEC(RIGHT(HEX2BIN(BC209,8)&amp;LEFT(HEX2BIN($A$1,8),1),8)),HEX2DEC($B$1)),HEX2DEC(BC209))),BC209)))))),HEX2DEC(IF(AND(BJ209=3,BC203=0),DEC2HEX(_xlfn.BITXOR(BIN2DEC((RIGHT(HEX2BIN(BC210,8)&amp;LEFT(HEX2BIN($A$1,8),1),8))),HEX2DEC(BC210)),2),IF(AND(BJ209=2,BC203=0),BIN2HEX(RIGHT(HEX2BIN(BC210,8)&amp;LEFT(HEX2BIN($A$1,8),1),8)),IF(AND(BJ209=2,BC203=1),DEC2HEX(_xlfn.BITXOR(BIN2DEC(RIGHT(HEX2BIN(BC210,8)&amp;LEFT(HEX2BIN($A$1,8),1),8)),HEX2DEC($B$1))),IF(AND(BJ209=3,BC203=1),DEC2HEX(_xlfn.BITXOR(_xlfn.BITXOR(BIN2DEC(RIGHT(HEX2BIN(BC210,8)&amp;LEFT(HEX2BIN($A$1,8),1),8)),HEX2DEC($B$1)),HEX2DEC(BC210))),BC210)))))))</f>
        <v>30</v>
      </c>
      <c r="BN209" s="44" t="str">
        <f>DEC2HEX(_xlfn.BITXOR(_xlfn.BITXOR(_xlfn.BITXOR(HEX2DEC(IF(AND(BG209=3,BD200=0),DEC2HEX(_xlfn.BITXOR(BIN2DEC((RIGHT(HEX2BIN(BD207,8)&amp;LEFT(HEX2BIN($A$1,8),1),8))),HEX2DEC(BD207)),2),IF(AND(BG209=2,BD200=0),BIN2HEX(RIGHT(HEX2BIN(BD207,8)&amp;LEFT(HEX2BIN($A$1,8),1),8)),IF(AND(BG209=2,BD200=1),DEC2HEX(_xlfn.BITXOR(BIN2DEC(RIGHT(HEX2BIN(BD207,8)&amp;LEFT(HEX2BIN($A$1,8),1),8)),HEX2DEC($B$1))),IF(AND(BG209=3,BD200=1),DEC2HEX(_xlfn.BITXOR(_xlfn.BITXOR(BIN2DEC(RIGHT(HEX2BIN(BD207,8)&amp;LEFT(HEX2BIN($A$1,8),1),8)),HEX2DEC($B$1)),HEX2DEC(BD207))),BD207))))),HEX2DEC(IF(AND(BH209=3,BD201=0),DEC2HEX(_xlfn.BITXOR(BIN2DEC((RIGHT(HEX2BIN(BD208,8)&amp;LEFT(HEX2BIN($A$1,8),1),8))),HEX2DEC(BD208)),2),IF(AND(BH209=2,BD201=0),BIN2HEX(RIGHT(HEX2BIN(BD208,8)&amp;LEFT(HEX2BIN($A$1,8),1),8)),IF(AND(BH209=2,BD201=1),DEC2HEX(_xlfn.BITXOR(BIN2DEC(RIGHT(HEX2BIN(BD208,8)&amp;LEFT(HEX2BIN($A$1,8),1),8)),HEX2DEC($B$1))),IF(AND(BH209=3,BD201=1),DEC2HEX(_xlfn.BITXOR(_xlfn.BITXOR(BIN2DEC(RIGHT(HEX2BIN(BD208,8)&amp;LEFT(HEX2BIN($A$1,8),1),8)),HEX2DEC($B$1)),HEX2DEC(BD208))),BD208)))))),HEX2DEC(IF(AND(BI209=3,BD202=0),DEC2HEX(_xlfn.BITXOR(BIN2DEC((RIGHT(HEX2BIN(BD209,8)&amp;LEFT(HEX2BIN($A$1,8),1),8))),HEX2DEC(BD209)),2),IF(AND(BI209=2,BD202=0),BIN2HEX(RIGHT(HEX2BIN(BD209,8)&amp;LEFT(HEX2BIN($A$1,8),1),8)),IF(AND(BI209=2,BD202=1),DEC2HEX(_xlfn.BITXOR(BIN2DEC(RIGHT(HEX2BIN(BD209,8)&amp;LEFT(HEX2BIN($A$1,8),1),8)),HEX2DEC($B$1))),IF(AND(BI209=3,BD202=1),DEC2HEX(_xlfn.BITXOR(_xlfn.BITXOR(BIN2DEC(RIGHT(HEX2BIN(BD209,8)&amp;LEFT(HEX2BIN($A$1,8),1),8)),HEX2DEC($B$1)),HEX2DEC(BD209))),BD209)))))),HEX2DEC(IF(AND(BJ209=3,BD203=0),DEC2HEX(_xlfn.BITXOR(BIN2DEC((RIGHT(HEX2BIN(BD210,8)&amp;LEFT(HEX2BIN($A$1,8),1),8))),HEX2DEC(BD210)),2),IF(AND(BJ209=2,BD203=0),BIN2HEX(RIGHT(HEX2BIN(BD210,8)&amp;LEFT(HEX2BIN($A$1,8),1),8)),IF(AND(BJ209=2,BD203=1),DEC2HEX(_xlfn.BITXOR(BIN2DEC(RIGHT(HEX2BIN(BD210,8)&amp;LEFT(HEX2BIN($A$1,8),1),8)),HEX2DEC($B$1))),IF(AND(BJ209=3,BD203=1),DEC2HEX(_xlfn.BITXOR(_xlfn.BITXOR(BIN2DEC(RIGHT(HEX2BIN(BD210,8)&amp;LEFT(HEX2BIN($A$1,8),1),8)),HEX2DEC($B$1)),HEX2DEC(BD210))),BD210)))))))</f>
        <v>DC</v>
      </c>
      <c r="BO209" s="44" t="str">
        <f>DEC2HEX(_xlfn.BITXOR(_xlfn.BITXOR(_xlfn.BITXOR(HEX2DEC(IF(AND(BG209=3,BE200=0),DEC2HEX(_xlfn.BITXOR(BIN2DEC((RIGHT(HEX2BIN(BE207,8)&amp;LEFT(HEX2BIN($A$1,8),1),8))),HEX2DEC(BE207)),2),IF(AND(BG209=2,BE200=0),BIN2HEX(RIGHT(HEX2BIN(BE207,8)&amp;LEFT(HEX2BIN($A$1,8),1),8)),IF(AND(BG209=2,BE200=1),DEC2HEX(_xlfn.BITXOR(BIN2DEC(RIGHT(HEX2BIN(BE207,8)&amp;LEFT(HEX2BIN($A$1,8),1),8)),HEX2DEC($B$1))),IF(AND(BG209=3,BE200=1),DEC2HEX(_xlfn.BITXOR(_xlfn.BITXOR(BIN2DEC(RIGHT(HEX2BIN(BE207,8)&amp;LEFT(HEX2BIN($A$1,8),1),8)),HEX2DEC($B$1)),HEX2DEC(BE207))),BE207))))),HEX2DEC(IF(AND(BH209=3,BE201=0),DEC2HEX(_xlfn.BITXOR(BIN2DEC((RIGHT(HEX2BIN(BE208,8)&amp;LEFT(HEX2BIN($A$1,8),1),8))),HEX2DEC(BE208)),2),IF(AND(BH209=2,BE201=0),BIN2HEX(RIGHT(HEX2BIN(BE208,8)&amp;LEFT(HEX2BIN($A$1,8),1),8)),IF(AND(BH209=2,BE201=1),DEC2HEX(_xlfn.BITXOR(BIN2DEC(RIGHT(HEX2BIN(BE208,8)&amp;LEFT(HEX2BIN($A$1,8),1),8)),HEX2DEC($B$1))),IF(AND(BH209=3,BE201=1),DEC2HEX(_xlfn.BITXOR(_xlfn.BITXOR(BIN2DEC(RIGHT(HEX2BIN(BE208,8)&amp;LEFT(HEX2BIN($A$1,8),1),8)),HEX2DEC($B$1)),HEX2DEC(BE208))),BE208)))))),HEX2DEC(IF(AND(BI209=3,BE202=0),DEC2HEX(_xlfn.BITXOR(BIN2DEC((RIGHT(HEX2BIN(BE209,8)&amp;LEFT(HEX2BIN($A$1,8),1),8))),HEX2DEC(BE209)),2),IF(AND(BI209=2,BE202=0),BIN2HEX(RIGHT(HEX2BIN(BE209,8)&amp;LEFT(HEX2BIN($A$1,8),1),8)),IF(AND(BI209=2,BE202=1),DEC2HEX(_xlfn.BITXOR(BIN2DEC(RIGHT(HEX2BIN(BE209,8)&amp;LEFT(HEX2BIN($A$1,8),1),8)),HEX2DEC($B$1))),IF(AND(BI209=3,BE202=1),DEC2HEX(_xlfn.BITXOR(_xlfn.BITXOR(BIN2DEC(RIGHT(HEX2BIN(BE209,8)&amp;LEFT(HEX2BIN($A$1,8),1),8)),HEX2DEC($B$1)),HEX2DEC(BE209))),BE209)))))),HEX2DEC(IF(AND(BJ209=3,BE203=0),DEC2HEX(_xlfn.BITXOR(BIN2DEC((RIGHT(HEX2BIN(BE210,8)&amp;LEFT(HEX2BIN($A$1,8),1),8))),HEX2DEC(BE210)),2),IF(AND(BJ209=2,BE203=0),BIN2HEX(RIGHT(HEX2BIN(BE210,8)&amp;LEFT(HEX2BIN($A$1,8),1),8)),IF(AND(BJ209=2,BE203=1),DEC2HEX(_xlfn.BITXOR(BIN2DEC(RIGHT(HEX2BIN(BE210,8)&amp;LEFT(HEX2BIN($A$1,8),1),8)),HEX2DEC($B$1))),IF(AND(BJ209=3,BE203=1),DEC2HEX(_xlfn.BITXOR(_xlfn.BITXOR(BIN2DEC(RIGHT(HEX2BIN(BE210,8)&amp;LEFT(HEX2BIN($A$1,8),1),8)),HEX2DEC($B$1)),HEX2DEC(BE210))),BE210)))))))</f>
        <v>9A</v>
      </c>
      <c r="BS209" s="44" t="s">
        <v>203</v>
      </c>
      <c r="BT209" s="44">
        <v>88</v>
      </c>
      <c r="BU209" s="44">
        <v>56</v>
      </c>
      <c r="BV209" s="44" t="s">
        <v>161</v>
      </c>
    </row>
    <row r="210" spans="2:74" x14ac:dyDescent="0.25">
      <c r="B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H210" s="14" t="str">
        <f t="shared" si="146"/>
        <v>2A</v>
      </c>
      <c r="AI210" s="14" t="str">
        <f t="shared" si="147"/>
        <v>3A</v>
      </c>
      <c r="AJ210" s="14" t="str">
        <f t="shared" si="148"/>
        <v>EF</v>
      </c>
      <c r="AK210" s="14" t="str">
        <f t="shared" si="149"/>
        <v>52</v>
      </c>
      <c r="AM210" s="35" t="str">
        <f t="shared" si="150"/>
        <v>55</v>
      </c>
      <c r="AN210" s="35" t="str">
        <f t="shared" si="139"/>
        <v>3D</v>
      </c>
      <c r="AO210" s="35" t="str">
        <f t="shared" si="139"/>
        <v>15</v>
      </c>
      <c r="AP210" s="35" t="str">
        <f t="shared" si="139"/>
        <v>48</v>
      </c>
      <c r="AR210" s="35" t="str">
        <f t="shared" si="151"/>
        <v>7F</v>
      </c>
      <c r="AS210" s="35" t="str">
        <f t="shared" si="140"/>
        <v>7</v>
      </c>
      <c r="AT210" s="35" t="str">
        <f t="shared" si="141"/>
        <v>FA</v>
      </c>
      <c r="AU210" s="35" t="str">
        <f t="shared" si="142"/>
        <v>1A</v>
      </c>
      <c r="AW210" s="1" t="s">
        <v>85</v>
      </c>
      <c r="AX210" s="1" t="s">
        <v>176</v>
      </c>
      <c r="AY210" s="1" t="s">
        <v>118</v>
      </c>
      <c r="AZ210" s="1" t="s">
        <v>72</v>
      </c>
      <c r="BB210" s="10" t="str">
        <f>AZ210</f>
        <v>A2</v>
      </c>
      <c r="BC210" s="10" t="str">
        <f>AW210</f>
        <v>D2</v>
      </c>
      <c r="BD210" s="10" t="str">
        <f t="shared" ref="BD210" si="154">AX210</f>
        <v>C5</v>
      </c>
      <c r="BE210" s="30" t="str">
        <f t="shared" ref="BE210" si="155">AY210</f>
        <v>2D</v>
      </c>
      <c r="BF210" s="10"/>
      <c r="BG210" s="31">
        <v>3</v>
      </c>
      <c r="BH210" s="32">
        <v>1</v>
      </c>
      <c r="BI210" s="32">
        <v>1</v>
      </c>
      <c r="BJ210" s="33">
        <v>2</v>
      </c>
      <c r="BK210" s="10"/>
      <c r="BL210" s="44" t="str">
        <f>DEC2HEX(_xlfn.BITXOR(_xlfn.BITXOR(_xlfn.BITXOR(HEX2DEC(IF(AND(BG210=3,BB200=0),DEC2HEX(_xlfn.BITXOR(BIN2DEC((RIGHT(HEX2BIN(BB207,8)&amp;LEFT(HEX2BIN($A$1,8),1),8))),HEX2DEC(BB207)),2),IF(AND(BG210=2,BB200=0),BIN2HEX(RIGHT(HEX2BIN(BB207,8)&amp;LEFT(HEX2BIN($A$1,8),1),8)),IF(AND(BG210=2,BB200=1),DEC2HEX(_xlfn.BITXOR(BIN2DEC(RIGHT(HEX2BIN(BB207,8)&amp;LEFT(HEX2BIN($A$1,8),1),8)),HEX2DEC($B$1))),IF(AND(BG210=3,BB200=1),DEC2HEX(_xlfn.BITXOR(_xlfn.BITXOR(BIN2DEC(RIGHT(HEX2BIN(BB207,8)&amp;LEFT(HEX2BIN($A$1,8),1),8)),HEX2DEC($B$1)),HEX2DEC(BB207))),BB207))))),HEX2DEC(IF(AND(BH210=3,BB201=0),DEC2HEX(_xlfn.BITXOR(BIN2DEC((RIGHT(HEX2BIN(BB208,8)&amp;LEFT(HEX2BIN($A$1,8),1),8))),HEX2DEC(BB208)),2),IF(AND(BH210=2,BB201=0),BIN2HEX(RIGHT(HEX2BIN(BB208,8)&amp;LEFT(HEX2BIN($A$1,8),1),8)),IF(AND(BH210=2,BB201=1),DEC2HEX(_xlfn.BITXOR(BIN2DEC(RIGHT(HEX2BIN(BB208,8)&amp;LEFT(HEX2BIN($A$1,8),1),8)),HEX2DEC($B$1))),IF(AND(BH210=3,BB201=1),DEC2HEX(_xlfn.BITXOR(_xlfn.BITXOR(BIN2DEC(RIGHT(HEX2BIN(BB208,8)&amp;LEFT(HEX2BIN($A$1,8),1),8)),HEX2DEC($B$1)),HEX2DEC(BB208))),BB208)))))),HEX2DEC(IF(AND(BI210=3,BB202=0),DEC2HEX(_xlfn.BITXOR(BIN2DEC((RIGHT(HEX2BIN(BB209,8)&amp;LEFT(HEX2BIN($A$1,8),1),8))),HEX2DEC(BB209)),2),IF(AND(BI210=2,BB202=0),BIN2HEX(RIGHT(HEX2BIN(BB209,8)&amp;LEFT(HEX2BIN($A$1,8),1),8)),IF(AND(BI210=2,BB202=1),DEC2HEX(_xlfn.BITXOR(BIN2DEC(RIGHT(HEX2BIN(BB209,8)&amp;LEFT(HEX2BIN($A$1,8),1),8)),HEX2DEC($B$1))),IF(AND(BI210=3,BB202=1),DEC2HEX(_xlfn.BITXOR(_xlfn.BITXOR(BIN2DEC(RIGHT(HEX2BIN(BB209,8)&amp;LEFT(HEX2BIN($A$1,8),1),8)),HEX2DEC($B$1)),HEX2DEC(BB209))),BB209)))))),HEX2DEC(IF(AND(BJ210=3,BB203=0),DEC2HEX(_xlfn.BITXOR(BIN2DEC((RIGHT(HEX2BIN(BB210,8)&amp;LEFT(HEX2BIN($A$1,8),1),8))),HEX2DEC(BB210)),2),IF(AND(BJ210=2,BB203=0),BIN2HEX(RIGHT(HEX2BIN(BB210,8)&amp;LEFT(HEX2BIN($A$1,8),1),8)),IF(AND(BJ210=2,BB203=1),DEC2HEX(_xlfn.BITXOR(BIN2DEC(RIGHT(HEX2BIN(BB210,8)&amp;LEFT(HEX2BIN($A$1,8),1),8)),HEX2DEC($B$1))),IF(AND(BJ210=3,BB203=1),DEC2HEX(_xlfn.BITXOR(_xlfn.BITXOR(BIN2DEC(RIGHT(HEX2BIN(BB210,8)&amp;LEFT(HEX2BIN($A$1,8),1),8)),HEX2DEC($B$1)),HEX2DEC(BB210))),BB210)))))))</f>
        <v>ED</v>
      </c>
      <c r="BM210" s="44" t="str">
        <f>DEC2HEX(_xlfn.BITXOR(_xlfn.BITXOR(_xlfn.BITXOR(HEX2DEC(IF(AND(BG210=3,BC200=0),DEC2HEX(_xlfn.BITXOR(BIN2DEC((RIGHT(HEX2BIN(BC207,8)&amp;LEFT(HEX2BIN($A$1,8),1),8))),HEX2DEC(BC207)),2),IF(AND(BG210=2,BC200=0),BIN2HEX(RIGHT(HEX2BIN(BC207,8)&amp;LEFT(HEX2BIN($A$1,8),1),8)),IF(AND(BG210=2,BC200=1),DEC2HEX(_xlfn.BITXOR(BIN2DEC(RIGHT(HEX2BIN(BC207,8)&amp;LEFT(HEX2BIN($A$1,8),1),8)),HEX2DEC($B$1))),IF(AND(BG210=3,BC200=1),DEC2HEX(_xlfn.BITXOR(_xlfn.BITXOR(BIN2DEC(RIGHT(HEX2BIN(BC207,8)&amp;LEFT(HEX2BIN($A$1,8),1),8)),HEX2DEC($B$1)),HEX2DEC(BC207))),BC207))))),HEX2DEC(IF(AND(BH210=3,BC201=0),DEC2HEX(_xlfn.BITXOR(BIN2DEC((RIGHT(HEX2BIN(BC208,8)&amp;LEFT(HEX2BIN($A$1,8),1),8))),HEX2DEC(BC208)),2),IF(AND(BH210=2,BC201=0),BIN2HEX(RIGHT(HEX2BIN(BC208,8)&amp;LEFT(HEX2BIN($A$1,8),1),8)),IF(AND(BH210=2,BC201=1),DEC2HEX(_xlfn.BITXOR(BIN2DEC(RIGHT(HEX2BIN(BC208,8)&amp;LEFT(HEX2BIN($A$1,8),1),8)),HEX2DEC($B$1))),IF(AND(BH210=3,BC201=1),DEC2HEX(_xlfn.BITXOR(_xlfn.BITXOR(BIN2DEC(RIGHT(HEX2BIN(BC208,8)&amp;LEFT(HEX2BIN($A$1,8),1),8)),HEX2DEC($B$1)),HEX2DEC(BC208))),BC208)))))),HEX2DEC(IF(AND(BI210=3,BC202=0),DEC2HEX(_xlfn.BITXOR(BIN2DEC((RIGHT(HEX2BIN(BC209,8)&amp;LEFT(HEX2BIN($A$1,8),1),8))),HEX2DEC(BC209)),2),IF(AND(BI210=2,BC202=0),BIN2HEX(RIGHT(HEX2BIN(BC209,8)&amp;LEFT(HEX2BIN($A$1,8),1),8)),IF(AND(BI210=2,BC202=1),DEC2HEX(_xlfn.BITXOR(BIN2DEC(RIGHT(HEX2BIN(BC209,8)&amp;LEFT(HEX2BIN($A$1,8),1),8)),HEX2DEC($B$1))),IF(AND(BI210=3,BC202=1),DEC2HEX(_xlfn.BITXOR(_xlfn.BITXOR(BIN2DEC(RIGHT(HEX2BIN(BC209,8)&amp;LEFT(HEX2BIN($A$1,8),1),8)),HEX2DEC($B$1)),HEX2DEC(BC209))),BC209)))))),HEX2DEC(IF(AND(BJ210=3,BC203=0),DEC2HEX(_xlfn.BITXOR(BIN2DEC((RIGHT(HEX2BIN(BC210,8)&amp;LEFT(HEX2BIN($A$1,8),1),8))),HEX2DEC(BC210)),2),IF(AND(BJ210=2,BC203=0),BIN2HEX(RIGHT(HEX2BIN(BC210,8)&amp;LEFT(HEX2BIN($A$1,8),1),8)),IF(AND(BJ210=2,BC203=1),DEC2HEX(_xlfn.BITXOR(BIN2DEC(RIGHT(HEX2BIN(BC210,8)&amp;LEFT(HEX2BIN($A$1,8),1),8)),HEX2DEC($B$1))),IF(AND(BJ210=3,BC203=1),DEC2HEX(_xlfn.BITXOR(_xlfn.BITXOR(BIN2DEC(RIGHT(HEX2BIN(BC210,8)&amp;LEFT(HEX2BIN($A$1,8),1),8)),HEX2DEC($B$1)),HEX2DEC(BC210))),BC210)))))))</f>
        <v>9C</v>
      </c>
      <c r="BN210" s="44" t="str">
        <f>DEC2HEX(_xlfn.BITXOR(_xlfn.BITXOR(_xlfn.BITXOR(HEX2DEC(IF(AND(BG210=3,BD200=0),DEC2HEX(_xlfn.BITXOR(BIN2DEC((RIGHT(HEX2BIN(BD207,8)&amp;LEFT(HEX2BIN($A$1,8),1),8))),HEX2DEC(BD207)),2),IF(AND(BG210=2,BD200=0),BIN2HEX(RIGHT(HEX2BIN(BD207,8)&amp;LEFT(HEX2BIN($A$1,8),1),8)),IF(AND(BG210=2,BD200=1),DEC2HEX(_xlfn.BITXOR(BIN2DEC(RIGHT(HEX2BIN(BD207,8)&amp;LEFT(HEX2BIN($A$1,8),1),8)),HEX2DEC($B$1))),IF(AND(BG210=3,BD200=1),DEC2HEX(_xlfn.BITXOR(_xlfn.BITXOR(BIN2DEC(RIGHT(HEX2BIN(BD207,8)&amp;LEFT(HEX2BIN($A$1,8),1),8)),HEX2DEC($B$1)),HEX2DEC(BD207))),BD207))))),HEX2DEC(IF(AND(BH210=3,BD201=0),DEC2HEX(_xlfn.BITXOR(BIN2DEC((RIGHT(HEX2BIN(BD208,8)&amp;LEFT(HEX2BIN($A$1,8),1),8))),HEX2DEC(BD208)),2),IF(AND(BH210=2,BD201=0),BIN2HEX(RIGHT(HEX2BIN(BD208,8)&amp;LEFT(HEX2BIN($A$1,8),1),8)),IF(AND(BH210=2,BD201=1),DEC2HEX(_xlfn.BITXOR(BIN2DEC(RIGHT(HEX2BIN(BD208,8)&amp;LEFT(HEX2BIN($A$1,8),1),8)),HEX2DEC($B$1))),IF(AND(BH210=3,BD201=1),DEC2HEX(_xlfn.BITXOR(_xlfn.BITXOR(BIN2DEC(RIGHT(HEX2BIN(BD208,8)&amp;LEFT(HEX2BIN($A$1,8),1),8)),HEX2DEC($B$1)),HEX2DEC(BD208))),BD208)))))),HEX2DEC(IF(AND(BI210=3,BD202=0),DEC2HEX(_xlfn.BITXOR(BIN2DEC((RIGHT(HEX2BIN(BD209,8)&amp;LEFT(HEX2BIN($A$1,8),1),8))),HEX2DEC(BD209)),2),IF(AND(BI210=2,BD202=0),BIN2HEX(RIGHT(HEX2BIN(BD209,8)&amp;LEFT(HEX2BIN($A$1,8),1),8)),IF(AND(BI210=2,BD202=1),DEC2HEX(_xlfn.BITXOR(BIN2DEC(RIGHT(HEX2BIN(BD209,8)&amp;LEFT(HEX2BIN($A$1,8),1),8)),HEX2DEC($B$1))),IF(AND(BI210=3,BD202=1),DEC2HEX(_xlfn.BITXOR(_xlfn.BITXOR(BIN2DEC(RIGHT(HEX2BIN(BD209,8)&amp;LEFT(HEX2BIN($A$1,8),1),8)),HEX2DEC($B$1)),HEX2DEC(BD209))),BD209)))))),HEX2DEC(IF(AND(BJ210=3,BD203=0),DEC2HEX(_xlfn.BITXOR(BIN2DEC((RIGHT(HEX2BIN(BD210,8)&amp;LEFT(HEX2BIN($A$1,8),1),8))),HEX2DEC(BD210)),2),IF(AND(BJ210=2,BD203=0),BIN2HEX(RIGHT(HEX2BIN(BD210,8)&amp;LEFT(HEX2BIN($A$1,8),1),8)),IF(AND(BJ210=2,BD203=1),DEC2HEX(_xlfn.BITXOR(BIN2DEC(RIGHT(HEX2BIN(BD210,8)&amp;LEFT(HEX2BIN($A$1,8),1),8)),HEX2DEC($B$1))),IF(AND(BJ210=3,BD203=1),DEC2HEX(_xlfn.BITXOR(_xlfn.BITXOR(BIN2DEC(RIGHT(HEX2BIN(BD210,8)&amp;LEFT(HEX2BIN($A$1,8),1),8)),HEX2DEC($B$1)),HEX2DEC(BD210))),BD210)))))))</f>
        <v>8B</v>
      </c>
      <c r="BO210" s="44" t="str">
        <f>DEC2HEX(_xlfn.BITXOR(_xlfn.BITXOR(_xlfn.BITXOR(HEX2DEC(IF(AND(BG210=3,BE200=0),DEC2HEX(_xlfn.BITXOR(BIN2DEC((RIGHT(HEX2BIN(BE207,8)&amp;LEFT(HEX2BIN($A$1,8),1),8))),HEX2DEC(BE207)),2),IF(AND(BG210=2,BE200=0),BIN2HEX(RIGHT(HEX2BIN(BE207,8)&amp;LEFT(HEX2BIN($A$1,8),1),8)),IF(AND(BG210=2,BE200=1),DEC2HEX(_xlfn.BITXOR(BIN2DEC(RIGHT(HEX2BIN(BE207,8)&amp;LEFT(HEX2BIN($A$1,8),1),8)),HEX2DEC($B$1))),IF(AND(BG210=3,BE200=1),DEC2HEX(_xlfn.BITXOR(_xlfn.BITXOR(BIN2DEC(RIGHT(HEX2BIN(BE207,8)&amp;LEFT(HEX2BIN($A$1,8),1),8)),HEX2DEC($B$1)),HEX2DEC(BE207))),BE207))))),HEX2DEC(IF(AND(BH210=3,BE201=0),DEC2HEX(_xlfn.BITXOR(BIN2DEC((RIGHT(HEX2BIN(BE208,8)&amp;LEFT(HEX2BIN($A$1,8),1),8))),HEX2DEC(BE208)),2),IF(AND(BH210=2,BE201=0),BIN2HEX(RIGHT(HEX2BIN(BE208,8)&amp;LEFT(HEX2BIN($A$1,8),1),8)),IF(AND(BH210=2,BE201=1),DEC2HEX(_xlfn.BITXOR(BIN2DEC(RIGHT(HEX2BIN(BE208,8)&amp;LEFT(HEX2BIN($A$1,8),1),8)),HEX2DEC($B$1))),IF(AND(BH210=3,BE201=1),DEC2HEX(_xlfn.BITXOR(_xlfn.BITXOR(BIN2DEC(RIGHT(HEX2BIN(BE208,8)&amp;LEFT(HEX2BIN($A$1,8),1),8)),HEX2DEC($B$1)),HEX2DEC(BE208))),BE208)))))),HEX2DEC(IF(AND(BI210=3,BE202=0),DEC2HEX(_xlfn.BITXOR(BIN2DEC((RIGHT(HEX2BIN(BE209,8)&amp;LEFT(HEX2BIN($A$1,8),1),8))),HEX2DEC(BE209)),2),IF(AND(BI210=2,BE202=0),BIN2HEX(RIGHT(HEX2BIN(BE209,8)&amp;LEFT(HEX2BIN($A$1,8),1),8)),IF(AND(BI210=2,BE202=1),DEC2HEX(_xlfn.BITXOR(BIN2DEC(RIGHT(HEX2BIN(BE209,8)&amp;LEFT(HEX2BIN($A$1,8),1),8)),HEX2DEC($B$1))),IF(AND(BI210=3,BE202=1),DEC2HEX(_xlfn.BITXOR(_xlfn.BITXOR(BIN2DEC(RIGHT(HEX2BIN(BE209,8)&amp;LEFT(HEX2BIN($A$1,8),1),8)),HEX2DEC($B$1)),HEX2DEC(BE209))),BE209)))))),HEX2DEC(IF(AND(BJ210=3,BE203=0),DEC2HEX(_xlfn.BITXOR(BIN2DEC((RIGHT(HEX2BIN(BE210,8)&amp;LEFT(HEX2BIN($A$1,8),1),8))),HEX2DEC(BE210)),2),IF(AND(BJ210=2,BE203=0),BIN2HEX(RIGHT(HEX2BIN(BE210,8)&amp;LEFT(HEX2BIN($A$1,8),1),8)),IF(AND(BJ210=2,BE203=1),DEC2HEX(_xlfn.BITXOR(BIN2DEC(RIGHT(HEX2BIN(BE210,8)&amp;LEFT(HEX2BIN($A$1,8),1),8)),HEX2DEC($B$1))),IF(AND(BJ210=3,BE203=1),DEC2HEX(_xlfn.BITXOR(_xlfn.BITXOR(BIN2DEC(RIGHT(HEX2BIN(BE210,8)&amp;LEFT(HEX2BIN($A$1,8),1),8)),HEX2DEC($B$1)),HEX2DEC(BE210))),BE210)))))))</f>
        <v>FF</v>
      </c>
      <c r="BS210" s="44">
        <v>14</v>
      </c>
      <c r="BT210" s="44" t="s">
        <v>228</v>
      </c>
      <c r="BU210" s="44" t="s">
        <v>132</v>
      </c>
      <c r="BV210" s="44" t="s">
        <v>161</v>
      </c>
    </row>
    <row r="211" spans="2:74" x14ac:dyDescent="0.25">
      <c r="B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BD211" s="10"/>
      <c r="BE211" s="10"/>
      <c r="BF211" s="10"/>
      <c r="BG211" s="10"/>
      <c r="BH211" s="10"/>
      <c r="BI211" s="10"/>
      <c r="BJ211" s="10"/>
      <c r="BK211" s="10"/>
    </row>
    <row r="212" spans="2:74" x14ac:dyDescent="0.25">
      <c r="B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BD212" s="10"/>
      <c r="BE212" s="10"/>
      <c r="BF212" s="10"/>
      <c r="BG212" s="10"/>
      <c r="BH212" s="10"/>
      <c r="BI212" s="10"/>
      <c r="BJ212" s="10"/>
      <c r="BK212" s="10"/>
    </row>
    <row r="213" spans="2:74" x14ac:dyDescent="0.25">
      <c r="B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BD213" s="10"/>
      <c r="BE213" s="10"/>
      <c r="BF213" s="10"/>
      <c r="BG213" s="10"/>
      <c r="BH213" s="10"/>
      <c r="BI213" s="10"/>
      <c r="BJ213" s="10"/>
      <c r="BK213" s="10"/>
    </row>
    <row r="214" spans="2:74" x14ac:dyDescent="0.25">
      <c r="B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BD214" s="10"/>
      <c r="BE214" s="10"/>
      <c r="BF214" s="10"/>
      <c r="BG214" s="10"/>
      <c r="BH214" s="10"/>
      <c r="BI214" s="10"/>
      <c r="BJ214" s="10"/>
      <c r="BK214" s="10"/>
    </row>
    <row r="215" spans="2:74" x14ac:dyDescent="0.25">
      <c r="B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</row>
    <row r="216" spans="2:74" x14ac:dyDescent="0.25">
      <c r="B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</row>
    <row r="217" spans="2:74" x14ac:dyDescent="0.25">
      <c r="B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</row>
    <row r="218" spans="2:74" x14ac:dyDescent="0.25">
      <c r="B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</row>
    <row r="219" spans="2:74" x14ac:dyDescent="0.25">
      <c r="B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</row>
    <row r="220" spans="2:74" x14ac:dyDescent="0.25">
      <c r="B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</row>
    <row r="221" spans="2:74" x14ac:dyDescent="0.25">
      <c r="B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</row>
    <row r="222" spans="2:74" x14ac:dyDescent="0.25">
      <c r="B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</row>
    <row r="223" spans="2:74" x14ac:dyDescent="0.25">
      <c r="B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</row>
    <row r="224" spans="2:74" x14ac:dyDescent="0.25">
      <c r="B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</row>
    <row r="225" spans="2:67" x14ac:dyDescent="0.25">
      <c r="B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</row>
    <row r="226" spans="2:67" x14ac:dyDescent="0.25">
      <c r="B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</row>
    <row r="227" spans="2:67" x14ac:dyDescent="0.25">
      <c r="B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</row>
    <row r="228" spans="2:67" x14ac:dyDescent="0.25">
      <c r="B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</row>
    <row r="229" spans="2:67" x14ac:dyDescent="0.25">
      <c r="B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</row>
    <row r="230" spans="2:67" x14ac:dyDescent="0.25">
      <c r="B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</row>
    <row r="231" spans="2:67" x14ac:dyDescent="0.25">
      <c r="B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</row>
    <row r="232" spans="2:67" x14ac:dyDescent="0.25">
      <c r="B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</row>
    <row r="233" spans="2:67" x14ac:dyDescent="0.25">
      <c r="B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BO233" s="35"/>
    </row>
    <row r="234" spans="2:67" x14ac:dyDescent="0.25">
      <c r="B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BO234" s="35"/>
    </row>
    <row r="235" spans="2:67" x14ac:dyDescent="0.25">
      <c r="B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BO235" s="35"/>
    </row>
    <row r="236" spans="2:67" x14ac:dyDescent="0.25">
      <c r="B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</row>
    <row r="237" spans="2:67" x14ac:dyDescent="0.25">
      <c r="B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</row>
    <row r="238" spans="2:67" x14ac:dyDescent="0.25">
      <c r="B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BJ238" t="s">
        <v>179</v>
      </c>
      <c r="BK238"/>
      <c r="BL238" t="s">
        <v>181</v>
      </c>
      <c r="BM238" t="s">
        <v>182</v>
      </c>
      <c r="BN238" t="s">
        <v>180</v>
      </c>
      <c r="BO238" s="35"/>
    </row>
    <row r="239" spans="2:67" x14ac:dyDescent="0.25">
      <c r="B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BJ239" t="str">
        <f>BIN2HEX(RIGHT(HEX2BIN(BA257,8)&amp;LEFT(HEX2BIN($A$1,8),1),8))</f>
        <v>0</v>
      </c>
      <c r="BK239"/>
      <c r="BL239" t="str">
        <f>DEC2HEX(_xlfn.BITXOR(BIN2DEC(RIGHT(HEX2BIN(BC264,8)&amp;LEFT(HEX2BIN($A$1,8),1),8)),HEX2DEC($B$1)))</f>
        <v>1B</v>
      </c>
      <c r="BM239" t="str">
        <f>DEC2HEX(_xlfn.BITXOR(_xlfn.BITXOR(BIN2DEC(RIGHT(HEX2BIN(BC245,8)&amp;LEFT(HEX2BIN($A$1,8),1),8)),HEX2DEC($B$1)),HEX2DEC(BC245)))</f>
        <v>18</v>
      </c>
      <c r="BN239" t="str">
        <f>DEC2HEX(_xlfn.BITXOR(BIN2DEC((RIGHT(HEX2BIN(BA258,8)&amp;LEFT(HEX2BIN($A$1,8),1),8))),HEX2DEC(BA258)),2)</f>
        <v>00</v>
      </c>
      <c r="BO239" s="35"/>
    </row>
    <row r="240" spans="2:67" x14ac:dyDescent="0.25">
      <c r="B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BJ240" s="35"/>
      <c r="BK240" s="35"/>
      <c r="BL240" s="35"/>
      <c r="BM240" s="35"/>
      <c r="BN240" s="35"/>
      <c r="BO240" s="35"/>
    </row>
    <row r="241" spans="2:74" x14ac:dyDescent="0.25">
      <c r="B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BD241" s="10"/>
      <c r="BJ241" s="35"/>
      <c r="BK241" s="35"/>
      <c r="BL241" s="35"/>
      <c r="BM241" s="35"/>
      <c r="BN241" s="35"/>
      <c r="BO241" s="35"/>
    </row>
    <row r="242" spans="2:74" x14ac:dyDescent="0.25">
      <c r="B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BB242" s="75">
        <f>IF(BIN2DEC(LEFT(HEX2BIN(BB249,8),1))=0,0,1)</f>
        <v>0</v>
      </c>
      <c r="BC242" s="75">
        <f>IF(BIN2DEC(LEFT(HEX2BIN(BC249,8),1))=0,0,1)</f>
        <v>1</v>
      </c>
      <c r="BD242" s="75">
        <f>IF(BIN2DEC(LEFT(HEX2BIN(BD249,8),1))=0,0,1)</f>
        <v>1</v>
      </c>
      <c r="BE242" s="75">
        <f>IF(BIN2DEC(LEFT(HEX2BIN(BE249,8),1))=0,0,1)</f>
        <v>0</v>
      </c>
      <c r="BJ242" s="35"/>
      <c r="BK242" s="35"/>
      <c r="BL242" s="35" t="s">
        <v>215</v>
      </c>
      <c r="BM242" s="35"/>
      <c r="BN242" s="35"/>
      <c r="BO242" s="35"/>
    </row>
    <row r="243" spans="2:74" x14ac:dyDescent="0.25">
      <c r="B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BB243" s="75">
        <f t="shared" ref="BB243:BE243" si="156">IF(BIN2DEC(LEFT(HEX2BIN(BB250,8),1))=0,0,1)</f>
        <v>1</v>
      </c>
      <c r="BC243" s="75">
        <f t="shared" si="156"/>
        <v>0</v>
      </c>
      <c r="BD243" s="75">
        <f t="shared" si="156"/>
        <v>0</v>
      </c>
      <c r="BE243" s="75">
        <f t="shared" si="156"/>
        <v>0</v>
      </c>
      <c r="BF243" s="10"/>
      <c r="BG243" s="10"/>
      <c r="BH243" s="10"/>
      <c r="BI243" s="10"/>
      <c r="BJ243" s="10"/>
      <c r="BK243" s="35"/>
      <c r="BL243" s="35" t="str">
        <f>DEC2HEX(_xlfn.BITXOR(_xlfn.BITXOR(_xlfn.BITXOR(HEX2DEC(BK246),HEX2DEC(BL246)),HEX2DEC(BM246)),HEX2DEC(BN246)))</f>
        <v>9C</v>
      </c>
      <c r="BM243" s="35"/>
      <c r="BN243" s="35"/>
      <c r="BO243" s="35"/>
    </row>
    <row r="244" spans="2:74" x14ac:dyDescent="0.25">
      <c r="B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BB244" s="75">
        <f t="shared" ref="BB244:BE244" si="157">IF(BIN2DEC(LEFT(HEX2BIN(BB251,8),1))=0,0,1)</f>
        <v>1</v>
      </c>
      <c r="BC244" s="75">
        <f t="shared" si="157"/>
        <v>1</v>
      </c>
      <c r="BD244" s="75">
        <f t="shared" si="157"/>
        <v>1</v>
      </c>
      <c r="BE244" s="75">
        <f t="shared" si="157"/>
        <v>0</v>
      </c>
      <c r="BF244" s="10"/>
      <c r="BG244" s="10"/>
      <c r="BH244" s="10"/>
      <c r="BI244" s="10"/>
      <c r="BJ244" s="10"/>
      <c r="BK244" s="35"/>
      <c r="BL244" s="35"/>
      <c r="BM244" s="35"/>
      <c r="BN244" s="35"/>
    </row>
    <row r="245" spans="2:74" x14ac:dyDescent="0.25">
      <c r="B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BB245" s="75">
        <f t="shared" ref="BB245:BE245" si="158">IF(BIN2DEC(LEFT(HEX2BIN(BB252,8),1))=0,0,1)</f>
        <v>0</v>
      </c>
      <c r="BC245" s="75">
        <f t="shared" si="158"/>
        <v>1</v>
      </c>
      <c r="BD245" s="75">
        <f t="shared" si="158"/>
        <v>0</v>
      </c>
      <c r="BE245" s="75">
        <f t="shared" si="158"/>
        <v>1</v>
      </c>
      <c r="BF245" s="10"/>
      <c r="BG245" s="10"/>
      <c r="BH245" s="10"/>
      <c r="BI245" s="10"/>
      <c r="BJ245" s="10"/>
      <c r="BK245" s="35"/>
      <c r="BL245" s="35"/>
      <c r="BM245" s="35"/>
      <c r="BN245" s="35"/>
    </row>
    <row r="246" spans="2:74" ht="15.75" x14ac:dyDescent="0.25">
      <c r="B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H246" s="76" t="s">
        <v>278</v>
      </c>
      <c r="AW246" s="116" t="s">
        <v>232</v>
      </c>
      <c r="AX246" s="116"/>
      <c r="AY246" s="116"/>
      <c r="AZ246" s="116"/>
      <c r="BF246" s="10"/>
      <c r="BG246" s="10"/>
      <c r="BH246" s="10"/>
      <c r="BI246" s="10"/>
      <c r="BJ246" s="10"/>
      <c r="BK246" t="str">
        <f>DEC2HEX(_xlfn.BITXOR(_xlfn.BITXOR(BIN2DEC(RIGHT(HEX2BIN(BE249,8)&amp;LEFT(HEX2BIN($A$1,8),1),8)),HEX2DEC($B$1)),HEX2DEC(BE249)))</f>
        <v>A5</v>
      </c>
      <c r="BL246" t="str">
        <f>BE250</f>
        <v>0A</v>
      </c>
      <c r="BM246" t="str">
        <f>BE251</f>
        <v>3A</v>
      </c>
      <c r="BN246" t="str">
        <f>DEC2HEX(_xlfn.BITXOR(BIN2DEC(RIGHT(HEX2BIN(BE252,8)&amp;LEFT(HEX2BIN($A$1,8),1),8)),HEX2DEC($B$1)))</f>
        <v>9</v>
      </c>
    </row>
    <row r="247" spans="2:74" x14ac:dyDescent="0.25">
      <c r="B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W247" s="35"/>
      <c r="AX247" s="35"/>
      <c r="AY247" s="35"/>
      <c r="AZ247" s="35"/>
      <c r="BB247" s="10"/>
      <c r="BC247" s="10"/>
      <c r="BD247" s="10"/>
      <c r="BE247" s="10"/>
      <c r="BF247" s="10"/>
      <c r="BG247" s="10"/>
      <c r="BH247" s="10"/>
      <c r="BI247" s="10"/>
      <c r="BJ247" s="10"/>
    </row>
    <row r="248" spans="2:74" x14ac:dyDescent="0.25">
      <c r="B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H248" s="116" t="s">
        <v>250</v>
      </c>
      <c r="AI248" s="116"/>
      <c r="AJ248" s="116"/>
      <c r="AK248" s="116"/>
      <c r="AR248" s="116" t="s">
        <v>221</v>
      </c>
      <c r="AS248" s="116"/>
      <c r="AT248" s="116"/>
      <c r="AU248" s="116"/>
      <c r="AW248" s="116" t="s">
        <v>222</v>
      </c>
      <c r="AX248" s="116"/>
      <c r="AY248" s="116"/>
      <c r="AZ248" s="116"/>
      <c r="BB248" s="118" t="s">
        <v>224</v>
      </c>
      <c r="BC248" s="118"/>
      <c r="BD248" s="118"/>
      <c r="BE248" s="118"/>
      <c r="BF248" s="10"/>
      <c r="BG248" s="10"/>
      <c r="BH248" s="10"/>
      <c r="BI248" s="10"/>
      <c r="BJ248" s="10"/>
      <c r="BL248" s="116" t="s">
        <v>225</v>
      </c>
      <c r="BM248" s="116"/>
      <c r="BN248" s="116"/>
      <c r="BO248" s="116"/>
    </row>
    <row r="249" spans="2:74" x14ac:dyDescent="0.25">
      <c r="B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H249" s="14" t="str">
        <f>H15</f>
        <v>1</v>
      </c>
      <c r="AI249" s="14" t="str">
        <f>K15</f>
        <v>53</v>
      </c>
      <c r="AJ249" s="14" t="str">
        <f>N15</f>
        <v>1A</v>
      </c>
      <c r="AK249" s="14" t="str">
        <f>Q15</f>
        <v>A0</v>
      </c>
      <c r="AM249" s="1" t="str">
        <f>BL207</f>
        <v>47</v>
      </c>
      <c r="AN249" s="35" t="str">
        <f t="shared" ref="AN249:AP252" si="159">BM207</f>
        <v>D6</v>
      </c>
      <c r="AO249" s="35" t="str">
        <f t="shared" si="159"/>
        <v>26</v>
      </c>
      <c r="AP249" s="35" t="str">
        <f t="shared" si="159"/>
        <v>F8</v>
      </c>
      <c r="AR249" s="35" t="str">
        <f>DEC2HEX(_xlfn.BITXOR(HEX2DEC(AH249),HEX2DEC(AM249)))</f>
        <v>46</v>
      </c>
      <c r="AS249" s="35" t="str">
        <f t="shared" ref="AS249:AS252" si="160">DEC2HEX(_xlfn.BITXOR(HEX2DEC(AI249),HEX2DEC(AN249)))</f>
        <v>85</v>
      </c>
      <c r="AT249" s="35" t="str">
        <f t="shared" ref="AT249:AT252" si="161">DEC2HEX(_xlfn.BITXOR(HEX2DEC(AJ249),HEX2DEC(AO249)))</f>
        <v>3C</v>
      </c>
      <c r="AU249" s="35" t="str">
        <f t="shared" ref="AU249:AU252" si="162">DEC2HEX(_xlfn.BITXOR(HEX2DEC(AK249),HEX2DEC(AP249)))</f>
        <v>58</v>
      </c>
      <c r="AW249" s="1" t="s">
        <v>138</v>
      </c>
      <c r="AX249" s="1">
        <v>97</v>
      </c>
      <c r="AY249" s="1" t="s">
        <v>90</v>
      </c>
      <c r="AZ249" s="1" t="s">
        <v>146</v>
      </c>
      <c r="BB249" s="10" t="str">
        <f>AW249</f>
        <v>5A</v>
      </c>
      <c r="BC249" s="10">
        <f t="shared" ref="BC249" si="163">AX249</f>
        <v>97</v>
      </c>
      <c r="BD249" s="10" t="str">
        <f t="shared" ref="BD249" si="164">AY249</f>
        <v>EB</v>
      </c>
      <c r="BE249" s="28" t="str">
        <f t="shared" ref="BE249" si="165">AZ249</f>
        <v>6A</v>
      </c>
      <c r="BF249" s="10"/>
      <c r="BG249" s="34">
        <v>2</v>
      </c>
      <c r="BH249" s="34">
        <v>3</v>
      </c>
      <c r="BI249" s="34">
        <v>1</v>
      </c>
      <c r="BJ249" s="34">
        <v>1</v>
      </c>
      <c r="BL249" s="44" t="str">
        <f>DEC2HEX(_xlfn.BITXOR(_xlfn.BITXOR(_xlfn.BITXOR(HEX2DEC(IF(AND(BG249=3,BB242=0),DEC2HEX(_xlfn.BITXOR(BIN2DEC((RIGHT(HEX2BIN(BB249,8)&amp;LEFT(HEX2BIN($A$1,8),1),8))),HEX2DEC(BB249)),2),IF(AND(BG249=2,BB242=0),BIN2HEX(RIGHT(HEX2BIN(BB249,8)&amp;LEFT(HEX2BIN($A$1,8),1),8)),IF(AND(BG249=2,BB242=1),DEC2HEX(_xlfn.BITXOR(BIN2DEC(RIGHT(HEX2BIN(BB249,8)&amp;LEFT(HEX2BIN($A$1,8),1),8)),HEX2DEC($B$1))),IF(AND(BG249=3,BB242=1),DEC2HEX(_xlfn.BITXOR(_xlfn.BITXOR(BIN2DEC(RIGHT(HEX2BIN(BB249,8)&amp;LEFT(HEX2BIN($A$1,8),1),8)),HEX2DEC($B$1)),HEX2DEC(BB249))),BB249))))),HEX2DEC(IF(AND(BH249=3,BB243=0),DEC2HEX(_xlfn.BITXOR(BIN2DEC((RIGHT(HEX2BIN(BB250,8)&amp;LEFT(HEX2BIN($A$1,8),1),8))),HEX2DEC(BB250)),2),IF(AND(BH249=2,BB243=0),BIN2HEX(RIGHT(HEX2BIN(BB250,8)&amp;LEFT(HEX2BIN($A$1,8),1),8)),IF(AND(BH249=2,BB243=1),DEC2HEX(_xlfn.BITXOR(BIN2DEC(RIGHT(HEX2BIN(BB250,8)&amp;LEFT(HEX2BIN($A$1,8),1),8)),HEX2DEC($B$1))),IF(AND(BH249=3,BB243=1),DEC2HEX(_xlfn.BITXOR(_xlfn.BITXOR(BIN2DEC(RIGHT(HEX2BIN(BB250,8)&amp;LEFT(HEX2BIN($A$1,8),1),8)),HEX2DEC($B$1)),HEX2DEC(BB250))),BB250)))))),HEX2DEC(IF(AND(BI249=3,BB244=0),DEC2HEX(_xlfn.BITXOR(BIN2DEC((RIGHT(HEX2BIN(BB251,8)&amp;LEFT(HEX2BIN($A$1,8),1),8))),HEX2DEC(BB251)),2),IF(AND(BI249=2,BB244=0),BIN2HEX(RIGHT(HEX2BIN(BB251,8)&amp;LEFT(HEX2BIN($A$1,8),1),8)),IF(AND(BI249=2,BB244=1),DEC2HEX(_xlfn.BITXOR(BIN2DEC(RIGHT(HEX2BIN(BB251,8)&amp;LEFT(HEX2BIN($A$1,8),1),8)),HEX2DEC($B$1))),IF(AND(BI249=3,BB244=1),DEC2HEX(_xlfn.BITXOR(_xlfn.BITXOR(BIN2DEC(RIGHT(HEX2BIN(BB251,8)&amp;LEFT(HEX2BIN($A$1,8),1),8)),HEX2DEC($B$1)),HEX2DEC(BB251))),BB251)))))),HEX2DEC(IF(AND(BJ249=3,BB245=0),DEC2HEX(_xlfn.BITXOR(BIN2DEC((RIGHT(HEX2BIN(BB252,8)&amp;LEFT(HEX2BIN($A$1,8),1),8))),HEX2DEC(BB252)),2),IF(AND(BJ249=2,BB245=0),BIN2HEX(RIGHT(HEX2BIN(BB252,8)&amp;LEFT(HEX2BIN($A$1,8),1),8)),IF(AND(BJ249=2,BB245=1),DEC2HEX(_xlfn.BITXOR(BIN2DEC(RIGHT(HEX2BIN(BB252,8)&amp;LEFT(HEX2BIN($A$1,8),1),8)),HEX2DEC($B$1))),IF(AND(BJ249=3,BB245=1),DEC2HEX(_xlfn.BITXOR(_xlfn.BITXOR(BIN2DEC(RIGHT(HEX2BIN(BB252,8)&amp;LEFT(HEX2BIN($A$1,8),1),8)),HEX2DEC($B$1)),HEX2DEC(BB252))),BB252)))))))</f>
        <v>E8</v>
      </c>
      <c r="BM249" s="44" t="str">
        <f>DEC2HEX(_xlfn.BITXOR(_xlfn.BITXOR(_xlfn.BITXOR(HEX2DEC(IF(AND(BG249=3,BC242=0),DEC2HEX(_xlfn.BITXOR(BIN2DEC((RIGHT(HEX2BIN(BC249,8)&amp;LEFT(HEX2BIN($A$1,8),1),8))),HEX2DEC(BC249)),2),IF(AND(BG249=2,BC242=0),BIN2HEX(RIGHT(HEX2BIN(BC249,8)&amp;LEFT(HEX2BIN($A$1,8),1),8)),IF(AND(BG249=2,BC242=1),DEC2HEX(_xlfn.BITXOR(BIN2DEC(RIGHT(HEX2BIN(BC249,8)&amp;LEFT(HEX2BIN($A$1,8),1),8)),HEX2DEC($B$1))),IF(AND(BG249=3,BC242=1),DEC2HEX(_xlfn.BITXOR(_xlfn.BITXOR(BIN2DEC(RIGHT(HEX2BIN(BC249,8)&amp;LEFT(HEX2BIN($A$1,8),1),8)),HEX2DEC($B$1)),HEX2DEC(BC249))),BC249))))),HEX2DEC(IF(AND(BH249=3,BC243=0),DEC2HEX(_xlfn.BITXOR(BIN2DEC((RIGHT(HEX2BIN(BC250,8)&amp;LEFT(HEX2BIN($A$1,8),1),8))),HEX2DEC(BC250)),2),IF(AND(BH249=2,BC243=0),BIN2HEX(RIGHT(HEX2BIN(BC250,8)&amp;LEFT(HEX2BIN($A$1,8),1),8)),IF(AND(BH249=2,BC243=1),DEC2HEX(_xlfn.BITXOR(BIN2DEC(RIGHT(HEX2BIN(BC250,8)&amp;LEFT(HEX2BIN($A$1,8),1),8)),HEX2DEC($B$1))),IF(AND(BH249=3,BC243=1),DEC2HEX(_xlfn.BITXOR(_xlfn.BITXOR(BIN2DEC(RIGHT(HEX2BIN(BC250,8)&amp;LEFT(HEX2BIN($A$1,8),1),8)),HEX2DEC($B$1)),HEX2DEC(BC250))),BC250)))))),HEX2DEC(IF(AND(BI249=3,BC244=0),DEC2HEX(_xlfn.BITXOR(BIN2DEC((RIGHT(HEX2BIN(BC251,8)&amp;LEFT(HEX2BIN($A$1,8),1),8))),HEX2DEC(BC251)),2),IF(AND(BI249=2,BC244=0),BIN2HEX(RIGHT(HEX2BIN(BC251,8)&amp;LEFT(HEX2BIN($A$1,8),1),8)),IF(AND(BI249=2,BC244=1),DEC2HEX(_xlfn.BITXOR(BIN2DEC(RIGHT(HEX2BIN(BC251,8)&amp;LEFT(HEX2BIN($A$1,8),1),8)),HEX2DEC($B$1))),IF(AND(BI249=3,BC244=1),DEC2HEX(_xlfn.BITXOR(_xlfn.BITXOR(BIN2DEC(RIGHT(HEX2BIN(BC251,8)&amp;LEFT(HEX2BIN($A$1,8),1),8)),HEX2DEC($B$1)),HEX2DEC(BC251))),BC251)))))),HEX2DEC(IF(AND(BJ249=3,BC245=0),DEC2HEX(_xlfn.BITXOR(BIN2DEC((RIGHT(HEX2BIN(BC252,8)&amp;LEFT(HEX2BIN($A$1,8),1),8))),HEX2DEC(BC252)),2),IF(AND(BJ249=2,BC245=0),BIN2HEX(RIGHT(HEX2BIN(BC252,8)&amp;LEFT(HEX2BIN($A$1,8),1),8)),IF(AND(BJ249=2,BC245=1),DEC2HEX(_xlfn.BITXOR(BIN2DEC(RIGHT(HEX2BIN(BC252,8)&amp;LEFT(HEX2BIN($A$1,8),1),8)),HEX2DEC($B$1))),IF(AND(BJ249=3,BC245=1),DEC2HEX(_xlfn.BITXOR(_xlfn.BITXOR(BIN2DEC(RIGHT(HEX2BIN(BC252,8)&amp;LEFT(HEX2BIN($A$1,8),1),8)),HEX2DEC($B$1)),HEX2DEC(BC252))),BC252)))))))</f>
        <v>CF</v>
      </c>
      <c r="BN249" s="41" t="str">
        <f>DEC2HEX(_xlfn.BITXOR(_xlfn.BITXOR(_xlfn.BITXOR(HEX2DEC(IF(AND(BG249=3,BD242=0),DEC2HEX(_xlfn.BITXOR(BIN2DEC((RIGHT(HEX2BIN(BD249,8)&amp;LEFT(HEX2BIN($A$1,8),1),8))),HEX2DEC(BD249)),2),IF(AND(BG249=2,BD242=0),BIN2HEX(RIGHT(HEX2BIN(BD249,8)&amp;LEFT(HEX2BIN($A$1,8),1),8)),IF(AND(BG249=2,BD242=1),DEC2HEX(_xlfn.BITXOR(BIN2DEC(RIGHT(HEX2BIN(BD249,8)&amp;LEFT(HEX2BIN($A$1,8),1),8)),HEX2DEC($B$1))),IF(AND(BG249=3,BD242=1),DEC2HEX(_xlfn.BITXOR(_xlfn.BITXOR(BIN2DEC(RIGHT(HEX2BIN(BD249,8)&amp;LEFT(HEX2BIN($A$1,8),1),8)),HEX2DEC($B$1)),HEX2DEC(BD249))),BD249))))),HEX2DEC(IF(AND(BH249=3,BD243=0),DEC2HEX(_xlfn.BITXOR(BIN2DEC((RIGHT(HEX2BIN(BD250,8)&amp;LEFT(HEX2BIN($A$1,8),1),8))),HEX2DEC(BD250)),2),IF(AND(BH249=2,BD243=0),BIN2HEX(RIGHT(HEX2BIN(BD250,8)&amp;LEFT(HEX2BIN($A$1,8),1),8)),IF(AND(BH249=2,BD243=1),DEC2HEX(_xlfn.BITXOR(BIN2DEC(RIGHT(HEX2BIN(BD250,8)&amp;LEFT(HEX2BIN($A$1,8),1),8)),HEX2DEC($B$1))),IF(AND(BH249=3,BD243=1),DEC2HEX(_xlfn.BITXOR(_xlfn.BITXOR(BIN2DEC(RIGHT(HEX2BIN(BD250,8)&amp;LEFT(HEX2BIN($A$1,8),1),8)),HEX2DEC($B$1)),HEX2DEC(BD250))),BD250)))))),HEX2DEC(IF(AND(BI249=3,BD244=0),DEC2HEX(_xlfn.BITXOR(BIN2DEC((RIGHT(HEX2BIN(BD251,8)&amp;LEFT(HEX2BIN($A$1,8),1),8))),HEX2DEC(BD251)),2),IF(AND(BI249=2,BD244=0),BIN2HEX(RIGHT(HEX2BIN(BD251,8)&amp;LEFT(HEX2BIN($A$1,8),1),8)),IF(AND(BI249=2,BD244=1),DEC2HEX(_xlfn.BITXOR(BIN2DEC(RIGHT(HEX2BIN(BD251,8)&amp;LEFT(HEX2BIN($A$1,8),1),8)),HEX2DEC($B$1))),IF(AND(BI249=3,BD244=1),DEC2HEX(_xlfn.BITXOR(_xlfn.BITXOR(BIN2DEC(RIGHT(HEX2BIN(BD251,8)&amp;LEFT(HEX2BIN($A$1,8),1),8)),HEX2DEC($B$1)),HEX2DEC(BD251))),BD251)))))),HEX2DEC(IF(AND(BJ249=3,BD245=0),DEC2HEX(_xlfn.BITXOR(BIN2DEC((RIGHT(HEX2BIN(BD252,8)&amp;LEFT(HEX2BIN($A$1,8),1),8))),HEX2DEC(BD252)),2),IF(AND(BJ249=2,BD245=0),BIN2HEX(RIGHT(HEX2BIN(BD252,8)&amp;LEFT(HEX2BIN($A$1,8),1),8)),IF(AND(BJ249=2,BD245=1),DEC2HEX(_xlfn.BITXOR(BIN2DEC(RIGHT(HEX2BIN(BD252,8)&amp;LEFT(HEX2BIN($A$1,8),1),8)),HEX2DEC($B$1))),IF(AND(BJ249=3,BD245=1),DEC2HEX(_xlfn.BITXOR(_xlfn.BITXOR(BIN2DEC(RIGHT(HEX2BIN(BD252,8)&amp;LEFT(HEX2BIN($A$1,8),1),8)),HEX2DEC($B$1)),HEX2DEC(BD252))),BD252)))))))</f>
        <v>AE</v>
      </c>
      <c r="BO249" s="44" t="str">
        <f>DEC2HEX(_xlfn.BITXOR(_xlfn.BITXOR(_xlfn.BITXOR(HEX2DEC(IF(AND(BG249=3,BE242=0),DEC2HEX(_xlfn.BITXOR(BIN2DEC((RIGHT(HEX2BIN(BE249,8)&amp;LEFT(HEX2BIN($A$1,8),1),8))),HEX2DEC(BE249)),2),IF(AND(BG249=2,BE242=0),BIN2HEX(RIGHT(HEX2BIN(BE249,8)&amp;LEFT(HEX2BIN($A$1,8),1),8)),IF(AND(BG249=2,BE242=1),DEC2HEX(_xlfn.BITXOR(BIN2DEC(RIGHT(HEX2BIN(BE249,8)&amp;LEFT(HEX2BIN($A$1,8),1),8)),HEX2DEC($B$1))),IF(AND(BG249=3,BE242=1),DEC2HEX(_xlfn.BITXOR(_xlfn.BITXOR(BIN2DEC(RIGHT(HEX2BIN(BE249,8)&amp;LEFT(HEX2BIN($A$1,8),1),8)),HEX2DEC($B$1)),HEX2DEC(BE249))),BE249))))),HEX2DEC(IF(AND(BH249=3,BE243=0),DEC2HEX(_xlfn.BITXOR(BIN2DEC((RIGHT(HEX2BIN(BE250,8)&amp;LEFT(HEX2BIN($A$1,8),1),8))),HEX2DEC(BE250)),2),IF(AND(BH249=2,BE243=0),BIN2HEX(RIGHT(HEX2BIN(BE250,8)&amp;LEFT(HEX2BIN($A$1,8),1),8)),IF(AND(BH249=2,BE243=1),DEC2HEX(_xlfn.BITXOR(BIN2DEC(RIGHT(HEX2BIN(BE250,8)&amp;LEFT(HEX2BIN($A$1,8),1),8)),HEX2DEC($B$1))),IF(AND(BH249=3,BE243=1),DEC2HEX(_xlfn.BITXOR(_xlfn.BITXOR(BIN2DEC(RIGHT(HEX2BIN(BE250,8)&amp;LEFT(HEX2BIN($A$1,8),1),8)),HEX2DEC($B$1)),HEX2DEC(BE250))),BE250)))))),HEX2DEC(IF(AND(BI249=3,BE244=0),DEC2HEX(_xlfn.BITXOR(BIN2DEC((RIGHT(HEX2BIN(BE251,8)&amp;LEFT(HEX2BIN($A$1,8),1),8))),HEX2DEC(BE251)),2),IF(AND(BI249=2,BE244=0),BIN2HEX(RIGHT(HEX2BIN(BE251,8)&amp;LEFT(HEX2BIN($A$1,8),1),8)),IF(AND(BI249=2,BE244=1),DEC2HEX(_xlfn.BITXOR(BIN2DEC(RIGHT(HEX2BIN(BE251,8)&amp;LEFT(HEX2BIN($A$1,8),1),8)),HEX2DEC($B$1))),IF(AND(BI249=3,BE244=1),DEC2HEX(_xlfn.BITXOR(_xlfn.BITXOR(BIN2DEC(RIGHT(HEX2BIN(BE251,8)&amp;LEFT(HEX2BIN($A$1,8),1),8)),HEX2DEC($B$1)),HEX2DEC(BE251))),BE251)))))),HEX2DEC(IF(AND(BJ249=3,BE245=0),DEC2HEX(_xlfn.BITXOR(BIN2DEC((RIGHT(HEX2BIN(BE252,8)&amp;LEFT(HEX2BIN($A$1,8),1),8))),HEX2DEC(BE252)),2),IF(AND(BJ249=2,BE245=0),BIN2HEX(RIGHT(HEX2BIN(BE252,8)&amp;LEFT(HEX2BIN($A$1,8),1),8)),IF(AND(BJ249=2,BE245=1),DEC2HEX(_xlfn.BITXOR(BIN2DEC(RIGHT(HEX2BIN(BE252,8)&amp;LEFT(HEX2BIN($A$1,8),1),8)),HEX2DEC($B$1))),IF(AND(BJ249=3,BE245=1),DEC2HEX(_xlfn.BITXOR(_xlfn.BITXOR(BIN2DEC(RIGHT(HEX2BIN(BE252,8)&amp;LEFT(HEX2BIN($A$1,8),1),8)),HEX2DEC($B$1)),HEX2DEC(BE252))),BE252)))))))</f>
        <v>79</v>
      </c>
      <c r="BS249" s="44" t="s">
        <v>116</v>
      </c>
      <c r="BT249" s="44" t="s">
        <v>84</v>
      </c>
      <c r="BU249" s="44">
        <v>95</v>
      </c>
      <c r="BV249" s="44">
        <v>53</v>
      </c>
    </row>
    <row r="250" spans="2:74" x14ac:dyDescent="0.25">
      <c r="B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H250" s="14" t="str">
        <f t="shared" ref="AH250:AH252" si="166">H16</f>
        <v>45</v>
      </c>
      <c r="AI250" s="14" t="str">
        <f t="shared" ref="AI250:AI252" si="167">K16</f>
        <v>3C</v>
      </c>
      <c r="AJ250" s="14" t="str">
        <f t="shared" ref="AJ250:AJ252" si="168">N16</f>
        <v>94</v>
      </c>
      <c r="AK250" s="14" t="str">
        <f t="shared" ref="AK250:AK252" si="169">Q16</f>
        <v>28</v>
      </c>
      <c r="AM250" s="35" t="str">
        <f t="shared" ref="AM250:AM252" si="170">BL208</f>
        <v>E6</v>
      </c>
      <c r="AN250" s="35" t="str">
        <f t="shared" si="159"/>
        <v>E3</v>
      </c>
      <c r="AO250" s="35" t="str">
        <f t="shared" si="159"/>
        <v>63</v>
      </c>
      <c r="AP250" s="35" t="str">
        <f t="shared" si="159"/>
        <v>3B</v>
      </c>
      <c r="AR250" s="35" t="str">
        <f t="shared" ref="AR250:AR252" si="171">DEC2HEX(_xlfn.BITXOR(HEX2DEC(AH250),HEX2DEC(AM250)))</f>
        <v>A3</v>
      </c>
      <c r="AS250" s="35" t="str">
        <f t="shared" si="160"/>
        <v>DF</v>
      </c>
      <c r="AT250" s="35" t="str">
        <f t="shared" si="161"/>
        <v>F7</v>
      </c>
      <c r="AU250" s="35" t="str">
        <f t="shared" si="162"/>
        <v>13</v>
      </c>
      <c r="AW250" s="1" t="s">
        <v>145</v>
      </c>
      <c r="AX250" s="1" t="s">
        <v>74</v>
      </c>
      <c r="AY250" s="1">
        <v>68</v>
      </c>
      <c r="AZ250" s="1" t="s">
        <v>75</v>
      </c>
      <c r="BB250" s="10" t="str">
        <f>AX250</f>
        <v>9E</v>
      </c>
      <c r="BC250" s="10">
        <f t="shared" ref="BC250" si="172">AY250</f>
        <v>68</v>
      </c>
      <c r="BD250" s="10" t="str">
        <f t="shared" ref="BD250" si="173">AZ250</f>
        <v>7D</v>
      </c>
      <c r="BE250" s="29" t="str">
        <f>AW250</f>
        <v>0A</v>
      </c>
      <c r="BF250" s="10"/>
      <c r="BG250" s="34">
        <v>1</v>
      </c>
      <c r="BH250" s="34">
        <v>2</v>
      </c>
      <c r="BI250" s="34">
        <v>3</v>
      </c>
      <c r="BJ250" s="34">
        <v>1</v>
      </c>
      <c r="BL250" s="44" t="str">
        <f>DEC2HEX(_xlfn.BITXOR(_xlfn.BITXOR(_xlfn.BITXOR(HEX2DEC(IF(AND(BG250=3,BB242=0),DEC2HEX(_xlfn.BITXOR(BIN2DEC((RIGHT(HEX2BIN(BB249,8)&amp;LEFT(HEX2BIN($A$1,8),1),8))),HEX2DEC(BB249)),2),IF(AND(BG250=2,BB242=0),BIN2HEX(RIGHT(HEX2BIN(BB249,8)&amp;LEFT(HEX2BIN($A$1,8),1),8)),IF(AND(BG250=2,BB242=1),DEC2HEX(_xlfn.BITXOR(BIN2DEC(RIGHT(HEX2BIN(BB249,8)&amp;LEFT(HEX2BIN($A$1,8),1),8)),HEX2DEC($B$1))),IF(AND(BG250=3,BB242=1),DEC2HEX(_xlfn.BITXOR(_xlfn.BITXOR(BIN2DEC(RIGHT(HEX2BIN(BB249,8)&amp;LEFT(HEX2BIN($A$1,8),1),8)),HEX2DEC($B$1)),HEX2DEC(BB249))),BB249))))),HEX2DEC(IF(AND(BH250=3,BB243=0),DEC2HEX(_xlfn.BITXOR(BIN2DEC((RIGHT(HEX2BIN(BB250,8)&amp;LEFT(HEX2BIN($A$1,8),1),8))),HEX2DEC(BB250)),2),IF(AND(BH250=2,BB243=0),BIN2HEX(RIGHT(HEX2BIN(BB250,8)&amp;LEFT(HEX2BIN($A$1,8),1),8)),IF(AND(BH250=2,BB243=1),DEC2HEX(_xlfn.BITXOR(BIN2DEC(RIGHT(HEX2BIN(BB250,8)&amp;LEFT(HEX2BIN($A$1,8),1),8)),HEX2DEC($B$1))),IF(AND(BH250=3,BB243=1),DEC2HEX(_xlfn.BITXOR(_xlfn.BITXOR(BIN2DEC(RIGHT(HEX2BIN(BB250,8)&amp;LEFT(HEX2BIN($A$1,8),1),8)),HEX2DEC($B$1)),HEX2DEC(BB250))),BB250)))))),HEX2DEC(IF(AND(BI250=3,BB244=0),DEC2HEX(_xlfn.BITXOR(BIN2DEC((RIGHT(HEX2BIN(BB251,8)&amp;LEFT(HEX2BIN($A$1,8),1),8))),HEX2DEC(BB251)),2),IF(AND(BI250=2,BB244=0),BIN2HEX(RIGHT(HEX2BIN(BB251,8)&amp;LEFT(HEX2BIN($A$1,8),1),8)),IF(AND(BI250=2,BB244=1),DEC2HEX(_xlfn.BITXOR(BIN2DEC(RIGHT(HEX2BIN(BB251,8)&amp;LEFT(HEX2BIN($A$1,8),1),8)),HEX2DEC($B$1))),IF(AND(BI250=3,BB244=1),DEC2HEX(_xlfn.BITXOR(_xlfn.BITXOR(BIN2DEC(RIGHT(HEX2BIN(BB251,8)&amp;LEFT(HEX2BIN($A$1,8),1),8)),HEX2DEC($B$1)),HEX2DEC(BB251))),BB251)))))),HEX2DEC(IF(AND(BJ250=3,BB245=0),DEC2HEX(_xlfn.BITXOR(BIN2DEC((RIGHT(HEX2BIN(BB252,8)&amp;LEFT(HEX2BIN($A$1,8),1),8))),HEX2DEC(BB252)),2),IF(AND(BJ250=2,BB245=0),BIN2HEX(RIGHT(HEX2BIN(BB252,8)&amp;LEFT(HEX2BIN($A$1,8),1),8)),IF(AND(BJ250=2,BB245=1),DEC2HEX(_xlfn.BITXOR(BIN2DEC(RIGHT(HEX2BIN(BB252,8)&amp;LEFT(HEX2BIN($A$1,8),1),8)),HEX2DEC($B$1))),IF(AND(BJ250=3,BB245=1),DEC2HEX(_xlfn.BITXOR(_xlfn.BITXOR(BIN2DEC(RIGHT(HEX2BIN(BB252,8)&amp;LEFT(HEX2BIN($A$1,8),1),8)),HEX2DEC($B$1)),HEX2DEC(BB252))),BB252)))))))</f>
        <v>1</v>
      </c>
      <c r="BM250" s="44" t="str">
        <f>DEC2HEX(_xlfn.BITXOR(_xlfn.BITXOR(_xlfn.BITXOR(HEX2DEC(IF(AND(BG250=3,BC242=0),DEC2HEX(_xlfn.BITXOR(BIN2DEC((RIGHT(HEX2BIN(BC249,8)&amp;LEFT(HEX2BIN($A$1,8),1),8))),HEX2DEC(BC249)),2),IF(AND(BG250=2,BC242=0),BIN2HEX(RIGHT(HEX2BIN(BC249,8)&amp;LEFT(HEX2BIN($A$1,8),1),8)),IF(AND(BG250=2,BC242=1),DEC2HEX(_xlfn.BITXOR(BIN2DEC(RIGHT(HEX2BIN(BC249,8)&amp;LEFT(HEX2BIN($A$1,8),1),8)),HEX2DEC($B$1))),IF(AND(BG250=3,BC242=1),DEC2HEX(_xlfn.BITXOR(_xlfn.BITXOR(BIN2DEC(RIGHT(HEX2BIN(BC249,8)&amp;LEFT(HEX2BIN($A$1,8),1),8)),HEX2DEC($B$1)),HEX2DEC(BC249))),BC249))))),HEX2DEC(IF(AND(BH250=3,BC243=0),DEC2HEX(_xlfn.BITXOR(BIN2DEC((RIGHT(HEX2BIN(BC250,8)&amp;LEFT(HEX2BIN($A$1,8),1),8))),HEX2DEC(BC250)),2),IF(AND(BH250=2,BC243=0),BIN2HEX(RIGHT(HEX2BIN(BC250,8)&amp;LEFT(HEX2BIN($A$1,8),1),8)),IF(AND(BH250=2,BC243=1),DEC2HEX(_xlfn.BITXOR(BIN2DEC(RIGHT(HEX2BIN(BC250,8)&amp;LEFT(HEX2BIN($A$1,8),1),8)),HEX2DEC($B$1))),IF(AND(BH250=3,BC243=1),DEC2HEX(_xlfn.BITXOR(_xlfn.BITXOR(BIN2DEC(RIGHT(HEX2BIN(BC250,8)&amp;LEFT(HEX2BIN($A$1,8),1),8)),HEX2DEC($B$1)),HEX2DEC(BC250))),BC250)))))),HEX2DEC(IF(AND(BI250=3,BC244=0),DEC2HEX(_xlfn.BITXOR(BIN2DEC((RIGHT(HEX2BIN(BC251,8)&amp;LEFT(HEX2BIN($A$1,8),1),8))),HEX2DEC(BC251)),2),IF(AND(BI250=2,BC244=0),BIN2HEX(RIGHT(HEX2BIN(BC251,8)&amp;LEFT(HEX2BIN($A$1,8),1),8)),IF(AND(BI250=2,BC244=1),DEC2HEX(_xlfn.BITXOR(BIN2DEC(RIGHT(HEX2BIN(BC251,8)&amp;LEFT(HEX2BIN($A$1,8),1),8)),HEX2DEC($B$1))),IF(AND(BI250=3,BC244=1),DEC2HEX(_xlfn.BITXOR(_xlfn.BITXOR(BIN2DEC(RIGHT(HEX2BIN(BC251,8)&amp;LEFT(HEX2BIN($A$1,8),1),8)),HEX2DEC($B$1)),HEX2DEC(BC251))),BC251)))))),HEX2DEC(IF(AND(BJ250=3,BC245=0),DEC2HEX(_xlfn.BITXOR(BIN2DEC((RIGHT(HEX2BIN(BC252,8)&amp;LEFT(HEX2BIN($A$1,8),1),8))),HEX2DEC(BC252)),2),IF(AND(BJ250=2,BC245=0),BIN2HEX(RIGHT(HEX2BIN(BC252,8)&amp;LEFT(HEX2BIN($A$1,8),1),8)),IF(AND(BJ250=2,BC245=1),DEC2HEX(_xlfn.BITXOR(BIN2DEC(RIGHT(HEX2BIN(BC252,8)&amp;LEFT(HEX2BIN($A$1,8),1),8)),HEX2DEC($B$1))),IF(AND(BJ250=3,BC245=1),DEC2HEX(_xlfn.BITXOR(_xlfn.BITXOR(BIN2DEC(RIGHT(HEX2BIN(BC252,8)&amp;LEFT(HEX2BIN($A$1,8),1),8)),HEX2DEC($B$1)),HEX2DEC(BC252))),BC252)))))))</f>
        <v>2A</v>
      </c>
      <c r="BN250" s="44" t="str">
        <f>DEC2HEX(_xlfn.BITXOR(_xlfn.BITXOR(_xlfn.BITXOR(HEX2DEC(IF(AND(BG250=3,BD242=0),DEC2HEX(_xlfn.BITXOR(BIN2DEC((RIGHT(HEX2BIN(BD249,8)&amp;LEFT(HEX2BIN($A$1,8),1),8))),HEX2DEC(BD249)),2),IF(AND(BG250=2,BD242=0),BIN2HEX(RIGHT(HEX2BIN(BD249,8)&amp;LEFT(HEX2BIN($A$1,8),1),8)),IF(AND(BG250=2,BD242=1),DEC2HEX(_xlfn.BITXOR(BIN2DEC(RIGHT(HEX2BIN(BD249,8)&amp;LEFT(HEX2BIN($A$1,8),1),8)),HEX2DEC($B$1))),IF(AND(BG250=3,BD242=1),DEC2HEX(_xlfn.BITXOR(_xlfn.BITXOR(BIN2DEC(RIGHT(HEX2BIN(BD249,8)&amp;LEFT(HEX2BIN($A$1,8),1),8)),HEX2DEC($B$1)),HEX2DEC(BD249))),BD249))))),HEX2DEC(IF(AND(BH250=3,BD243=0),DEC2HEX(_xlfn.BITXOR(BIN2DEC((RIGHT(HEX2BIN(BD250,8)&amp;LEFT(HEX2BIN($A$1,8),1),8))),HEX2DEC(BD250)),2),IF(AND(BH250=2,BD243=0),BIN2HEX(RIGHT(HEX2BIN(BD250,8)&amp;LEFT(HEX2BIN($A$1,8),1),8)),IF(AND(BH250=2,BD243=1),DEC2HEX(_xlfn.BITXOR(BIN2DEC(RIGHT(HEX2BIN(BD250,8)&amp;LEFT(HEX2BIN($A$1,8),1),8)),HEX2DEC($B$1))),IF(AND(BH250=3,BD243=1),DEC2HEX(_xlfn.BITXOR(_xlfn.BITXOR(BIN2DEC(RIGHT(HEX2BIN(BD250,8)&amp;LEFT(HEX2BIN($A$1,8),1),8)),HEX2DEC($B$1)),HEX2DEC(BD250))),BD250)))))),HEX2DEC(IF(AND(BI250=3,BD244=0),DEC2HEX(_xlfn.BITXOR(BIN2DEC((RIGHT(HEX2BIN(BD251,8)&amp;LEFT(HEX2BIN($A$1,8),1),8))),HEX2DEC(BD251)),2),IF(AND(BI250=2,BD244=0),BIN2HEX(RIGHT(HEX2BIN(BD251,8)&amp;LEFT(HEX2BIN($A$1,8),1),8)),IF(AND(BI250=2,BD244=1),DEC2HEX(_xlfn.BITXOR(BIN2DEC(RIGHT(HEX2BIN(BD251,8)&amp;LEFT(HEX2BIN($A$1,8),1),8)),HEX2DEC($B$1))),IF(AND(BI250=3,BD244=1),DEC2HEX(_xlfn.BITXOR(_xlfn.BITXOR(BIN2DEC(RIGHT(HEX2BIN(BD251,8)&amp;LEFT(HEX2BIN($A$1,8),1),8)),HEX2DEC($B$1)),HEX2DEC(BD251))),BD251)))))),HEX2DEC(IF(AND(BJ250=3,BD245=0),DEC2HEX(_xlfn.BITXOR(BIN2DEC((RIGHT(HEX2BIN(BD252,8)&amp;LEFT(HEX2BIN($A$1,8),1),8))),HEX2DEC(BD252)),2),IF(AND(BJ250=2,BD245=0),BIN2HEX(RIGHT(HEX2BIN(BD252,8)&amp;LEFT(HEX2BIN($A$1,8),1),8)),IF(AND(BJ250=2,BD245=1),DEC2HEX(_xlfn.BITXOR(BIN2DEC(RIGHT(HEX2BIN(BD252,8)&amp;LEFT(HEX2BIN($A$1,8),1),8)),HEX2DEC($B$1))),IF(AND(BJ250=3,BD245=1),DEC2HEX(_xlfn.BITXOR(_xlfn.BITXOR(BIN2DEC(RIGHT(HEX2BIN(BD252,8)&amp;LEFT(HEX2BIN($A$1,8),1),8)),HEX2DEC($B$1)),HEX2DEC(BD252))),BD252)))))))</f>
        <v>44</v>
      </c>
      <c r="BO250" s="44" t="str">
        <f>DEC2HEX(_xlfn.BITXOR(_xlfn.BITXOR(_xlfn.BITXOR(HEX2DEC(IF(AND(BG250=3,BE242=0),DEC2HEX(_xlfn.BITXOR(BIN2DEC((RIGHT(HEX2BIN(BE249,8)&amp;LEFT(HEX2BIN($A$1,8),1),8))),HEX2DEC(BE249)),2),IF(AND(BG250=2,BE242=0),BIN2HEX(RIGHT(HEX2BIN(BE249,8)&amp;LEFT(HEX2BIN($A$1,8),1),8)),IF(AND(BG250=2,BE242=1),DEC2HEX(_xlfn.BITXOR(BIN2DEC(RIGHT(HEX2BIN(BE249,8)&amp;LEFT(HEX2BIN($A$1,8),1),8)),HEX2DEC($B$1))),IF(AND(BG250=3,BE242=1),DEC2HEX(_xlfn.BITXOR(_xlfn.BITXOR(BIN2DEC(RIGHT(HEX2BIN(BE249,8)&amp;LEFT(HEX2BIN($A$1,8),1),8)),HEX2DEC($B$1)),HEX2DEC(BE249))),BE249))))),HEX2DEC(IF(AND(BH250=3,BE243=0),DEC2HEX(_xlfn.BITXOR(BIN2DEC((RIGHT(HEX2BIN(BE250,8)&amp;LEFT(HEX2BIN($A$1,8),1),8))),HEX2DEC(BE250)),2),IF(AND(BH250=2,BE243=0),BIN2HEX(RIGHT(HEX2BIN(BE250,8)&amp;LEFT(HEX2BIN($A$1,8),1),8)),IF(AND(BH250=2,BE243=1),DEC2HEX(_xlfn.BITXOR(BIN2DEC(RIGHT(HEX2BIN(BE250,8)&amp;LEFT(HEX2BIN($A$1,8),1),8)),HEX2DEC($B$1))),IF(AND(BH250=3,BE243=1),DEC2HEX(_xlfn.BITXOR(_xlfn.BITXOR(BIN2DEC(RIGHT(HEX2BIN(BE250,8)&amp;LEFT(HEX2BIN($A$1,8),1),8)),HEX2DEC($B$1)),HEX2DEC(BE250))),BE250)))))),HEX2DEC(IF(AND(BI250=3,BE244=0),DEC2HEX(_xlfn.BITXOR(BIN2DEC((RIGHT(HEX2BIN(BE251,8)&amp;LEFT(HEX2BIN($A$1,8),1),8))),HEX2DEC(BE251)),2),IF(AND(BI250=2,BE244=0),BIN2HEX(RIGHT(HEX2BIN(BE251,8)&amp;LEFT(HEX2BIN($A$1,8),1),8)),IF(AND(BI250=2,BE244=1),DEC2HEX(_xlfn.BITXOR(BIN2DEC(RIGHT(HEX2BIN(BE251,8)&amp;LEFT(HEX2BIN($A$1,8),1),8)),HEX2DEC($B$1))),IF(AND(BI250=3,BE244=1),DEC2HEX(_xlfn.BITXOR(_xlfn.BITXOR(BIN2DEC(RIGHT(HEX2BIN(BE251,8)&amp;LEFT(HEX2BIN($A$1,8),1),8)),HEX2DEC($B$1)),HEX2DEC(BE251))),BE251)))))),HEX2DEC(IF(AND(BJ250=3,BE245=0),DEC2HEX(_xlfn.BITXOR(BIN2DEC((RIGHT(HEX2BIN(BE252,8)&amp;LEFT(HEX2BIN($A$1,8),1),8))),HEX2DEC(BE252)),2),IF(AND(BJ250=2,BE245=0),BIN2HEX(RIGHT(HEX2BIN(BE252,8)&amp;LEFT(HEX2BIN($A$1,8),1),8)),IF(AND(BJ250=2,BE245=1),DEC2HEX(_xlfn.BITXOR(BIN2DEC(RIGHT(HEX2BIN(BE252,8)&amp;LEFT(HEX2BIN($A$1,8),1),8)),HEX2DEC($B$1))),IF(AND(BJ250=3,BE245=1),DEC2HEX(_xlfn.BITXOR(_xlfn.BITXOR(BIN2DEC(RIGHT(HEX2BIN(BE252,8)&amp;LEFT(HEX2BIN($A$1,8),1),8)),HEX2DEC($B$1)),HEX2DEC(BE252))),BE252)))))))</f>
        <v>B9</v>
      </c>
      <c r="BS250" s="44">
        <v>58</v>
      </c>
      <c r="BT250" s="44" t="s">
        <v>142</v>
      </c>
      <c r="BU250" s="44" t="s">
        <v>129</v>
      </c>
      <c r="BV250" s="44">
        <v>48</v>
      </c>
    </row>
    <row r="251" spans="2:74" x14ac:dyDescent="0.25">
      <c r="B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H251" s="14" t="str">
        <f t="shared" si="166"/>
        <v>B3</v>
      </c>
      <c r="AI251" s="14" t="str">
        <f t="shared" si="167"/>
        <v>92</v>
      </c>
      <c r="AJ251" s="14" t="str">
        <f t="shared" si="168"/>
        <v>1</v>
      </c>
      <c r="AK251" s="14" t="str">
        <f t="shared" si="169"/>
        <v>AD</v>
      </c>
      <c r="AM251" s="35" t="str">
        <f t="shared" si="170"/>
        <v>6</v>
      </c>
      <c r="AN251" s="35" t="str">
        <f t="shared" si="159"/>
        <v>30</v>
      </c>
      <c r="AO251" s="35" t="str">
        <f t="shared" si="159"/>
        <v>DC</v>
      </c>
      <c r="AP251" s="35" t="str">
        <f t="shared" si="159"/>
        <v>9A</v>
      </c>
      <c r="AR251" s="35" t="str">
        <f t="shared" si="171"/>
        <v>B5</v>
      </c>
      <c r="AS251" s="35" t="str">
        <f t="shared" si="160"/>
        <v>A2</v>
      </c>
      <c r="AT251" s="35" t="str">
        <f t="shared" si="161"/>
        <v>DD</v>
      </c>
      <c r="AU251" s="35" t="str">
        <f t="shared" si="162"/>
        <v>37</v>
      </c>
      <c r="AW251" s="1" t="s">
        <v>124</v>
      </c>
      <c r="AX251" s="1" t="s">
        <v>272</v>
      </c>
      <c r="AY251" s="1" t="s">
        <v>139</v>
      </c>
      <c r="AZ251" s="1" t="s">
        <v>177</v>
      </c>
      <c r="BB251" s="10" t="str">
        <f>AY251</f>
        <v>C1</v>
      </c>
      <c r="BC251" s="10" t="str">
        <f>AZ251</f>
        <v>9A</v>
      </c>
      <c r="BD251" s="10" t="str">
        <f>AW251</f>
        <v>D5</v>
      </c>
      <c r="BE251" s="29" t="str">
        <f>AX251</f>
        <v>3A</v>
      </c>
      <c r="BF251" s="10"/>
      <c r="BG251" s="34">
        <v>1</v>
      </c>
      <c r="BH251" s="34">
        <v>1</v>
      </c>
      <c r="BI251" s="34">
        <v>2</v>
      </c>
      <c r="BJ251" s="34">
        <v>3</v>
      </c>
      <c r="BL251" s="44" t="str">
        <f>DEC2HEX(_xlfn.BITXOR(_xlfn.BITXOR(_xlfn.BITXOR(HEX2DEC(IF(AND(BG251=3,BB242=0),DEC2HEX(_xlfn.BITXOR(BIN2DEC((RIGHT(HEX2BIN(BB249,8)&amp;LEFT(HEX2BIN($A$1,8),1),8))),HEX2DEC(BB249)),2),IF(AND(BG251=2,BB242=0),BIN2HEX(RIGHT(HEX2BIN(BB249,8)&amp;LEFT(HEX2BIN($A$1,8),1),8)),IF(AND(BG251=2,BB242=1),DEC2HEX(_xlfn.BITXOR(BIN2DEC(RIGHT(HEX2BIN(BB249,8)&amp;LEFT(HEX2BIN($A$1,8),1),8)),HEX2DEC($B$1))),IF(AND(BG251=3,BB242=1),DEC2HEX(_xlfn.BITXOR(_xlfn.BITXOR(BIN2DEC(RIGHT(HEX2BIN(BB249,8)&amp;LEFT(HEX2BIN($A$1,8),1),8)),HEX2DEC($B$1)),HEX2DEC(BB249))),BB249))))),HEX2DEC(IF(AND(BH251=3,BB243=0),DEC2HEX(_xlfn.BITXOR(BIN2DEC((RIGHT(HEX2BIN(BB250,8)&amp;LEFT(HEX2BIN($A$1,8),1),8))),HEX2DEC(BB250)),2),IF(AND(BH251=2,BB243=0),BIN2HEX(RIGHT(HEX2BIN(BB250,8)&amp;LEFT(HEX2BIN($A$1,8),1),8)),IF(AND(BH251=2,BB243=1),DEC2HEX(_xlfn.BITXOR(BIN2DEC(RIGHT(HEX2BIN(BB250,8)&amp;LEFT(HEX2BIN($A$1,8),1),8)),HEX2DEC($B$1))),IF(AND(BH251=3,BB243=1),DEC2HEX(_xlfn.BITXOR(_xlfn.BITXOR(BIN2DEC(RIGHT(HEX2BIN(BB250,8)&amp;LEFT(HEX2BIN($A$1,8),1),8)),HEX2DEC($B$1)),HEX2DEC(BB250))),BB250)))))),HEX2DEC(IF(AND(BI251=3,BB244=0),DEC2HEX(_xlfn.BITXOR(BIN2DEC((RIGHT(HEX2BIN(BB251,8)&amp;LEFT(HEX2BIN($A$1,8),1),8))),HEX2DEC(BB251)),2),IF(AND(BI251=2,BB244=0),BIN2HEX(RIGHT(HEX2BIN(BB251,8)&amp;LEFT(HEX2BIN($A$1,8),1),8)),IF(AND(BI251=2,BB244=1),DEC2HEX(_xlfn.BITXOR(BIN2DEC(RIGHT(HEX2BIN(BB251,8)&amp;LEFT(HEX2BIN($A$1,8),1),8)),HEX2DEC($B$1))),IF(AND(BI251=3,BB244=1),DEC2HEX(_xlfn.BITXOR(_xlfn.BITXOR(BIN2DEC(RIGHT(HEX2BIN(BB251,8)&amp;LEFT(HEX2BIN($A$1,8),1),8)),HEX2DEC($B$1)),HEX2DEC(BB251))),BB251)))))),HEX2DEC(IF(AND(BJ251=3,BB245=0),DEC2HEX(_xlfn.BITXOR(BIN2DEC((RIGHT(HEX2BIN(BB252,8)&amp;LEFT(HEX2BIN($A$1,8),1),8))),HEX2DEC(BB252)),2),IF(AND(BJ251=2,BB245=0),BIN2HEX(RIGHT(HEX2BIN(BB252,8)&amp;LEFT(HEX2BIN($A$1,8),1),8)),IF(AND(BJ251=2,BB245=1),DEC2HEX(_xlfn.BITXOR(BIN2DEC(RIGHT(HEX2BIN(BB252,8)&amp;LEFT(HEX2BIN($A$1,8),1),8)),HEX2DEC($B$1))),IF(AND(BJ251=3,BB245=1),DEC2HEX(_xlfn.BITXOR(_xlfn.BITXOR(BIN2DEC(RIGHT(HEX2BIN(BB252,8)&amp;LEFT(HEX2BIN($A$1,8),1),8)),HEX2DEC($B$1)),HEX2DEC(BB252))),BB252)))))))</f>
        <v>31</v>
      </c>
      <c r="BM251" s="44" t="str">
        <f>DEC2HEX(_xlfn.BITXOR(_xlfn.BITXOR(_xlfn.BITXOR(HEX2DEC(IF(AND(BG251=3,BC242=0),DEC2HEX(_xlfn.BITXOR(BIN2DEC((RIGHT(HEX2BIN(BC249,8)&amp;LEFT(HEX2BIN($A$1,8),1),8))),HEX2DEC(BC249)),2),IF(AND(BG251=2,BC242=0),BIN2HEX(RIGHT(HEX2BIN(BC249,8)&amp;LEFT(HEX2BIN($A$1,8),1),8)),IF(AND(BG251=2,BC242=1),DEC2HEX(_xlfn.BITXOR(BIN2DEC(RIGHT(HEX2BIN(BC249,8)&amp;LEFT(HEX2BIN($A$1,8),1),8)),HEX2DEC($B$1))),IF(AND(BG251=3,BC242=1),DEC2HEX(_xlfn.BITXOR(_xlfn.BITXOR(BIN2DEC(RIGHT(HEX2BIN(BC249,8)&amp;LEFT(HEX2BIN($A$1,8),1),8)),HEX2DEC($B$1)),HEX2DEC(BC249))),BC249))))),HEX2DEC(IF(AND(BH251=3,BC243=0),DEC2HEX(_xlfn.BITXOR(BIN2DEC((RIGHT(HEX2BIN(BC250,8)&amp;LEFT(HEX2BIN($A$1,8),1),8))),HEX2DEC(BC250)),2),IF(AND(BH251=2,BC243=0),BIN2HEX(RIGHT(HEX2BIN(BC250,8)&amp;LEFT(HEX2BIN($A$1,8),1),8)),IF(AND(BH251=2,BC243=1),DEC2HEX(_xlfn.BITXOR(BIN2DEC(RIGHT(HEX2BIN(BC250,8)&amp;LEFT(HEX2BIN($A$1,8),1),8)),HEX2DEC($B$1))),IF(AND(BH251=3,BC243=1),DEC2HEX(_xlfn.BITXOR(_xlfn.BITXOR(BIN2DEC(RIGHT(HEX2BIN(BC250,8)&amp;LEFT(HEX2BIN($A$1,8),1),8)),HEX2DEC($B$1)),HEX2DEC(BC250))),BC250)))))),HEX2DEC(IF(AND(BI251=3,BC244=0),DEC2HEX(_xlfn.BITXOR(BIN2DEC((RIGHT(HEX2BIN(BC251,8)&amp;LEFT(HEX2BIN($A$1,8),1),8))),HEX2DEC(BC251)),2),IF(AND(BI251=2,BC244=0),BIN2HEX(RIGHT(HEX2BIN(BC251,8)&amp;LEFT(HEX2BIN($A$1,8),1),8)),IF(AND(BI251=2,BC244=1),DEC2HEX(_xlfn.BITXOR(BIN2DEC(RIGHT(HEX2BIN(BC251,8)&amp;LEFT(HEX2BIN($A$1,8),1),8)),HEX2DEC($B$1))),IF(AND(BI251=3,BC244=1),DEC2HEX(_xlfn.BITXOR(_xlfn.BITXOR(BIN2DEC(RIGHT(HEX2BIN(BC251,8)&amp;LEFT(HEX2BIN($A$1,8),1),8)),HEX2DEC($B$1)),HEX2DEC(BC251))),BC251)))))),HEX2DEC(IF(AND(BJ251=3,BC245=0),DEC2HEX(_xlfn.BITXOR(BIN2DEC((RIGHT(HEX2BIN(BC252,8)&amp;LEFT(HEX2BIN($A$1,8),1),8))),HEX2DEC(BC252)),2),IF(AND(BJ251=2,BC245=0),BIN2HEX(RIGHT(HEX2BIN(BC252,8)&amp;LEFT(HEX2BIN($A$1,8),1),8)),IF(AND(BJ251=2,BC245=1),DEC2HEX(_xlfn.BITXOR(BIN2DEC(RIGHT(HEX2BIN(BC252,8)&amp;LEFT(HEX2BIN($A$1,8),1),8)),HEX2DEC($B$1))),IF(AND(BJ251=3,BC245=1),DEC2HEX(_xlfn.BITXOR(_xlfn.BITXOR(BIN2DEC(RIGHT(HEX2BIN(BC252,8)&amp;LEFT(HEX2BIN($A$1,8),1),8)),HEX2DEC($B$1)),HEX2DEC(BC252))),BC252)))))))</f>
        <v>A3</v>
      </c>
      <c r="BN251" s="44" t="str">
        <f>DEC2HEX(_xlfn.BITXOR(_xlfn.BITXOR(_xlfn.BITXOR(HEX2DEC(IF(AND(BG251=3,BD242=0),DEC2HEX(_xlfn.BITXOR(BIN2DEC((RIGHT(HEX2BIN(BD249,8)&amp;LEFT(HEX2BIN($A$1,8),1),8))),HEX2DEC(BD249)),2),IF(AND(BG251=2,BD242=0),BIN2HEX(RIGHT(HEX2BIN(BD249,8)&amp;LEFT(HEX2BIN($A$1,8),1),8)),IF(AND(BG251=2,BD242=1),DEC2HEX(_xlfn.BITXOR(BIN2DEC(RIGHT(HEX2BIN(BD249,8)&amp;LEFT(HEX2BIN($A$1,8),1),8)),HEX2DEC($B$1))),IF(AND(BG251=3,BD242=1),DEC2HEX(_xlfn.BITXOR(_xlfn.BITXOR(BIN2DEC(RIGHT(HEX2BIN(BD249,8)&amp;LEFT(HEX2BIN($A$1,8),1),8)),HEX2DEC($B$1)),HEX2DEC(BD249))),BD249))))),HEX2DEC(IF(AND(BH251=3,BD243=0),DEC2HEX(_xlfn.BITXOR(BIN2DEC((RIGHT(HEX2BIN(BD250,8)&amp;LEFT(HEX2BIN($A$1,8),1),8))),HEX2DEC(BD250)),2),IF(AND(BH251=2,BD243=0),BIN2HEX(RIGHT(HEX2BIN(BD250,8)&amp;LEFT(HEX2BIN($A$1,8),1),8)),IF(AND(BH251=2,BD243=1),DEC2HEX(_xlfn.BITXOR(BIN2DEC(RIGHT(HEX2BIN(BD250,8)&amp;LEFT(HEX2BIN($A$1,8),1),8)),HEX2DEC($B$1))),IF(AND(BH251=3,BD243=1),DEC2HEX(_xlfn.BITXOR(_xlfn.BITXOR(BIN2DEC(RIGHT(HEX2BIN(BD250,8)&amp;LEFT(HEX2BIN($A$1,8),1),8)),HEX2DEC($B$1)),HEX2DEC(BD250))),BD250)))))),HEX2DEC(IF(AND(BI251=3,BD244=0),DEC2HEX(_xlfn.BITXOR(BIN2DEC((RIGHT(HEX2BIN(BD251,8)&amp;LEFT(HEX2BIN($A$1,8),1),8))),HEX2DEC(BD251)),2),IF(AND(BI251=2,BD244=0),BIN2HEX(RIGHT(HEX2BIN(BD251,8)&amp;LEFT(HEX2BIN($A$1,8),1),8)),IF(AND(BI251=2,BD244=1),DEC2HEX(_xlfn.BITXOR(BIN2DEC(RIGHT(HEX2BIN(BD251,8)&amp;LEFT(HEX2BIN($A$1,8),1),8)),HEX2DEC($B$1))),IF(AND(BI251=3,BD244=1),DEC2HEX(_xlfn.BITXOR(_xlfn.BITXOR(BIN2DEC(RIGHT(HEX2BIN(BD251,8)&amp;LEFT(HEX2BIN($A$1,8),1),8)),HEX2DEC($B$1)),HEX2DEC(BD251))),BD251)))))),HEX2DEC(IF(AND(BJ251=3,BD245=0),DEC2HEX(_xlfn.BITXOR(BIN2DEC((RIGHT(HEX2BIN(BD252,8)&amp;LEFT(HEX2BIN($A$1,8),1),8))),HEX2DEC(BD252)),2),IF(AND(BJ251=2,BD245=0),BIN2HEX(RIGHT(HEX2BIN(BD252,8)&amp;LEFT(HEX2BIN($A$1,8),1),8)),IF(AND(BJ251=2,BD245=1),DEC2HEX(_xlfn.BITXOR(BIN2DEC(RIGHT(HEX2BIN(BD252,8)&amp;LEFT(HEX2BIN($A$1,8),1),8)),HEX2DEC($B$1))),IF(AND(BJ251=3,BD245=1),DEC2HEX(_xlfn.BITXOR(_xlfn.BITXOR(BIN2DEC(RIGHT(HEX2BIN(BD252,8)&amp;LEFT(HEX2BIN($A$1,8),1),8)),HEX2DEC($B$1)),HEX2DEC(BD252))),BD252)))))))</f>
        <v>74</v>
      </c>
      <c r="BO251" s="44" t="str">
        <f>DEC2HEX(_xlfn.BITXOR(_xlfn.BITXOR(_xlfn.BITXOR(HEX2DEC(IF(AND(BG251=3,BE242=0),DEC2HEX(_xlfn.BITXOR(BIN2DEC((RIGHT(HEX2BIN(BE249,8)&amp;LEFT(HEX2BIN($A$1,8),1),8))),HEX2DEC(BE249)),2),IF(AND(BG251=2,BE242=0),BIN2HEX(RIGHT(HEX2BIN(BE249,8)&amp;LEFT(HEX2BIN($A$1,8),1),8)),IF(AND(BG251=2,BE242=1),DEC2HEX(_xlfn.BITXOR(BIN2DEC(RIGHT(HEX2BIN(BE249,8)&amp;LEFT(HEX2BIN($A$1,8),1),8)),HEX2DEC($B$1))),IF(AND(BG251=3,BE242=1),DEC2HEX(_xlfn.BITXOR(_xlfn.BITXOR(BIN2DEC(RIGHT(HEX2BIN(BE249,8)&amp;LEFT(HEX2BIN($A$1,8),1),8)),HEX2DEC($B$1)),HEX2DEC(BE249))),BE249))))),HEX2DEC(IF(AND(BH251=3,BE243=0),DEC2HEX(_xlfn.BITXOR(BIN2DEC((RIGHT(HEX2BIN(BE250,8)&amp;LEFT(HEX2BIN($A$1,8),1),8))),HEX2DEC(BE250)),2),IF(AND(BH251=2,BE243=0),BIN2HEX(RIGHT(HEX2BIN(BE250,8)&amp;LEFT(HEX2BIN($A$1,8),1),8)),IF(AND(BH251=2,BE243=1),DEC2HEX(_xlfn.BITXOR(BIN2DEC(RIGHT(HEX2BIN(BE250,8)&amp;LEFT(HEX2BIN($A$1,8),1),8)),HEX2DEC($B$1))),IF(AND(BH251=3,BE243=1),DEC2HEX(_xlfn.BITXOR(_xlfn.BITXOR(BIN2DEC(RIGHT(HEX2BIN(BE250,8)&amp;LEFT(HEX2BIN($A$1,8),1),8)),HEX2DEC($B$1)),HEX2DEC(BE250))),BE250)))))),HEX2DEC(IF(AND(BI251=3,BE244=0),DEC2HEX(_xlfn.BITXOR(BIN2DEC((RIGHT(HEX2BIN(BE251,8)&amp;LEFT(HEX2BIN($A$1,8),1),8))),HEX2DEC(BE251)),2),IF(AND(BI251=2,BE244=0),BIN2HEX(RIGHT(HEX2BIN(BE251,8)&amp;LEFT(HEX2BIN($A$1,8),1),8)),IF(AND(BI251=2,BE244=1),DEC2HEX(_xlfn.BITXOR(BIN2DEC(RIGHT(HEX2BIN(BE251,8)&amp;LEFT(HEX2BIN($A$1,8),1),8)),HEX2DEC($B$1))),IF(AND(BI251=3,BE244=1),DEC2HEX(_xlfn.BITXOR(_xlfn.BITXOR(BIN2DEC(RIGHT(HEX2BIN(BE251,8)&amp;LEFT(HEX2BIN($A$1,8),1),8)),HEX2DEC($B$1)),HEX2DEC(BE251))),BE251)))))),HEX2DEC(IF(AND(BJ251=3,BE245=0),DEC2HEX(_xlfn.BITXOR(BIN2DEC((RIGHT(HEX2BIN(BE252,8)&amp;LEFT(HEX2BIN($A$1,8),1),8))),HEX2DEC(BE252)),2),IF(AND(BJ251=2,BE245=0),BIN2HEX(RIGHT(HEX2BIN(BE252,8)&amp;LEFT(HEX2BIN($A$1,8),1),8)),IF(AND(BJ251=2,BE245=1),DEC2HEX(_xlfn.BITXOR(BIN2DEC(RIGHT(HEX2BIN(BE252,8)&amp;LEFT(HEX2BIN($A$1,8),1),8)),HEX2DEC($B$1))),IF(AND(BJ251=3,BE245=1),DEC2HEX(_xlfn.BITXOR(_xlfn.BITXOR(BIN2DEC(RIGHT(HEX2BIN(BE252,8)&amp;LEFT(HEX2BIN($A$1,8),1),8)),HEX2DEC($B$1)),HEX2DEC(BE252))),BE252)))))))</f>
        <v>94</v>
      </c>
      <c r="BS251" s="44" t="s">
        <v>109</v>
      </c>
      <c r="BT251" s="44" t="s">
        <v>90</v>
      </c>
      <c r="BU251" s="44" t="s">
        <v>127</v>
      </c>
      <c r="BV251" s="44" t="s">
        <v>141</v>
      </c>
    </row>
    <row r="252" spans="2:74" x14ac:dyDescent="0.25">
      <c r="B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H252" s="14" t="str">
        <f t="shared" si="166"/>
        <v>C0</v>
      </c>
      <c r="AI252" s="14" t="str">
        <f t="shared" si="167"/>
        <v>B2</v>
      </c>
      <c r="AJ252" s="14" t="str">
        <f t="shared" si="168"/>
        <v>79</v>
      </c>
      <c r="AK252" s="14" t="str">
        <f t="shared" si="169"/>
        <v>59</v>
      </c>
      <c r="AM252" s="35" t="str">
        <f t="shared" si="170"/>
        <v>ED</v>
      </c>
      <c r="AN252" s="35" t="str">
        <f t="shared" si="159"/>
        <v>9C</v>
      </c>
      <c r="AO252" s="35" t="str">
        <f t="shared" si="159"/>
        <v>8B</v>
      </c>
      <c r="AP252" s="35" t="str">
        <f t="shared" si="159"/>
        <v>FF</v>
      </c>
      <c r="AR252" s="35" t="str">
        <f t="shared" si="171"/>
        <v>2D</v>
      </c>
      <c r="AS252" s="35" t="str">
        <f t="shared" si="160"/>
        <v>2E</v>
      </c>
      <c r="AT252" s="35" t="str">
        <f t="shared" si="161"/>
        <v>F2</v>
      </c>
      <c r="AU252" s="35" t="str">
        <f t="shared" si="162"/>
        <v>A6</v>
      </c>
      <c r="AW252" s="1" t="s">
        <v>273</v>
      </c>
      <c r="AX252" s="1">
        <v>31</v>
      </c>
      <c r="AY252" s="1">
        <v>89</v>
      </c>
      <c r="AZ252" s="1">
        <v>24</v>
      </c>
      <c r="BB252" s="10">
        <f>AZ252</f>
        <v>24</v>
      </c>
      <c r="BC252" s="10" t="str">
        <f>AW252</f>
        <v>D8</v>
      </c>
      <c r="BD252" s="10">
        <f t="shared" ref="BD252" si="174">AX252</f>
        <v>31</v>
      </c>
      <c r="BE252" s="30">
        <f t="shared" ref="BE252" si="175">AY252</f>
        <v>89</v>
      </c>
      <c r="BF252" s="10"/>
      <c r="BG252" s="31">
        <v>3</v>
      </c>
      <c r="BH252" s="32">
        <v>1</v>
      </c>
      <c r="BI252" s="32">
        <v>1</v>
      </c>
      <c r="BJ252" s="33">
        <v>2</v>
      </c>
      <c r="BL252" s="44" t="str">
        <f>DEC2HEX(_xlfn.BITXOR(_xlfn.BITXOR(_xlfn.BITXOR(HEX2DEC(IF(AND(BG252=3,BB242=0),DEC2HEX(_xlfn.BITXOR(BIN2DEC((RIGHT(HEX2BIN(BB249,8)&amp;LEFT(HEX2BIN($A$1,8),1),8))),HEX2DEC(BB249)),2),IF(AND(BG252=2,BB242=0),BIN2HEX(RIGHT(HEX2BIN(BB249,8)&amp;LEFT(HEX2BIN($A$1,8),1),8)),IF(AND(BG252=2,BB242=1),DEC2HEX(_xlfn.BITXOR(BIN2DEC(RIGHT(HEX2BIN(BB249,8)&amp;LEFT(HEX2BIN($A$1,8),1),8)),HEX2DEC($B$1))),IF(AND(BG252=3,BB242=1),DEC2HEX(_xlfn.BITXOR(_xlfn.BITXOR(BIN2DEC(RIGHT(HEX2BIN(BB249,8)&amp;LEFT(HEX2BIN($A$1,8),1),8)),HEX2DEC($B$1)),HEX2DEC(BB249))),BB249))))),HEX2DEC(IF(AND(BH252=3,BB243=0),DEC2HEX(_xlfn.BITXOR(BIN2DEC((RIGHT(HEX2BIN(BB250,8)&amp;LEFT(HEX2BIN($A$1,8),1),8))),HEX2DEC(BB250)),2),IF(AND(BH252=2,BB243=0),BIN2HEX(RIGHT(HEX2BIN(BB250,8)&amp;LEFT(HEX2BIN($A$1,8),1),8)),IF(AND(BH252=2,BB243=1),DEC2HEX(_xlfn.BITXOR(BIN2DEC(RIGHT(HEX2BIN(BB250,8)&amp;LEFT(HEX2BIN($A$1,8),1),8)),HEX2DEC($B$1))),IF(AND(BH252=3,BB243=1),DEC2HEX(_xlfn.BITXOR(_xlfn.BITXOR(BIN2DEC(RIGHT(HEX2BIN(BB250,8)&amp;LEFT(HEX2BIN($A$1,8),1),8)),HEX2DEC($B$1)),HEX2DEC(BB250))),BB250)))))),HEX2DEC(IF(AND(BI252=3,BB244=0),DEC2HEX(_xlfn.BITXOR(BIN2DEC((RIGHT(HEX2BIN(BB251,8)&amp;LEFT(HEX2BIN($A$1,8),1),8))),HEX2DEC(BB251)),2),IF(AND(BI252=2,BB244=0),BIN2HEX(RIGHT(HEX2BIN(BB251,8)&amp;LEFT(HEX2BIN($A$1,8),1),8)),IF(AND(BI252=2,BB244=1),DEC2HEX(_xlfn.BITXOR(BIN2DEC(RIGHT(HEX2BIN(BB251,8)&amp;LEFT(HEX2BIN($A$1,8),1),8)),HEX2DEC($B$1))),IF(AND(BI252=3,BB244=1),DEC2HEX(_xlfn.BITXOR(_xlfn.BITXOR(BIN2DEC(RIGHT(HEX2BIN(BB251,8)&amp;LEFT(HEX2BIN($A$1,8),1),8)),HEX2DEC($B$1)),HEX2DEC(BB251))),BB251)))))),HEX2DEC(IF(AND(BJ252=3,BB245=0),DEC2HEX(_xlfn.BITXOR(BIN2DEC((RIGHT(HEX2BIN(BB252,8)&amp;LEFT(HEX2BIN($A$1,8),1),8))),HEX2DEC(BB252)),2),IF(AND(BJ252=2,BB245=0),BIN2HEX(RIGHT(HEX2BIN(BB252,8)&amp;LEFT(HEX2BIN($A$1,8),1),8)),IF(AND(BJ252=2,BB245=1),DEC2HEX(_xlfn.BITXOR(BIN2DEC(RIGHT(HEX2BIN(BB252,8)&amp;LEFT(HEX2BIN($A$1,8),1),8)),HEX2DEC($B$1))),IF(AND(BJ252=3,BB245=1),DEC2HEX(_xlfn.BITXOR(_xlfn.BITXOR(BIN2DEC(RIGHT(HEX2BIN(BB252,8)&amp;LEFT(HEX2BIN($A$1,8),1),8)),HEX2DEC($B$1)),HEX2DEC(BB252))),BB252)))))))</f>
        <v>F9</v>
      </c>
      <c r="BM252" s="44" t="str">
        <f>DEC2HEX(_xlfn.BITXOR(_xlfn.BITXOR(_xlfn.BITXOR(HEX2DEC(IF(AND(BG252=3,BC242=0),DEC2HEX(_xlfn.BITXOR(BIN2DEC((RIGHT(HEX2BIN(BC249,8)&amp;LEFT(HEX2BIN($A$1,8),1),8))),HEX2DEC(BC249)),2),IF(AND(BG252=2,BC242=0),BIN2HEX(RIGHT(HEX2BIN(BC249,8)&amp;LEFT(HEX2BIN($A$1,8),1),8)),IF(AND(BG252=2,BC242=1),DEC2HEX(_xlfn.BITXOR(BIN2DEC(RIGHT(HEX2BIN(BC249,8)&amp;LEFT(HEX2BIN($A$1,8),1),8)),HEX2DEC($B$1))),IF(AND(BG252=3,BC242=1),DEC2HEX(_xlfn.BITXOR(_xlfn.BITXOR(BIN2DEC(RIGHT(HEX2BIN(BC249,8)&amp;LEFT(HEX2BIN($A$1,8),1),8)),HEX2DEC($B$1)),HEX2DEC(BC249))),BC249))))),HEX2DEC(IF(AND(BH252=3,BC243=0),DEC2HEX(_xlfn.BITXOR(BIN2DEC((RIGHT(HEX2BIN(BC250,8)&amp;LEFT(HEX2BIN($A$1,8),1),8))),HEX2DEC(BC250)),2),IF(AND(BH252=2,BC243=0),BIN2HEX(RIGHT(HEX2BIN(BC250,8)&amp;LEFT(HEX2BIN($A$1,8),1),8)),IF(AND(BH252=2,BC243=1),DEC2HEX(_xlfn.BITXOR(BIN2DEC(RIGHT(HEX2BIN(BC250,8)&amp;LEFT(HEX2BIN($A$1,8),1),8)),HEX2DEC($B$1))),IF(AND(BH252=3,BC243=1),DEC2HEX(_xlfn.BITXOR(_xlfn.BITXOR(BIN2DEC(RIGHT(HEX2BIN(BC250,8)&amp;LEFT(HEX2BIN($A$1,8),1),8)),HEX2DEC($B$1)),HEX2DEC(BC250))),BC250)))))),HEX2DEC(IF(AND(BI252=3,BC244=0),DEC2HEX(_xlfn.BITXOR(BIN2DEC((RIGHT(HEX2BIN(BC251,8)&amp;LEFT(HEX2BIN($A$1,8),1),8))),HEX2DEC(BC251)),2),IF(AND(BI252=2,BC244=0),BIN2HEX(RIGHT(HEX2BIN(BC251,8)&amp;LEFT(HEX2BIN($A$1,8),1),8)),IF(AND(BI252=2,BC244=1),DEC2HEX(_xlfn.BITXOR(BIN2DEC(RIGHT(HEX2BIN(BC251,8)&amp;LEFT(HEX2BIN($A$1,8),1),8)),HEX2DEC($B$1))),IF(AND(BI252=3,BC244=1),DEC2HEX(_xlfn.BITXOR(_xlfn.BITXOR(BIN2DEC(RIGHT(HEX2BIN(BC251,8)&amp;LEFT(HEX2BIN($A$1,8),1),8)),HEX2DEC($B$1)),HEX2DEC(BC251))),BC251)))))),HEX2DEC(IF(AND(BJ252=3,BC245=0),DEC2HEX(_xlfn.BITXOR(BIN2DEC((RIGHT(HEX2BIN(BC252,8)&amp;LEFT(HEX2BIN($A$1,8),1),8))),HEX2DEC(BC252)),2),IF(AND(BJ252=2,BC245=0),BIN2HEX(RIGHT(HEX2BIN(BC252,8)&amp;LEFT(HEX2BIN($A$1,8),1),8)),IF(AND(BJ252=2,BC245=1),DEC2HEX(_xlfn.BITXOR(BIN2DEC(RIGHT(HEX2BIN(BC252,8)&amp;LEFT(HEX2BIN($A$1,8),1),8)),HEX2DEC($B$1))),IF(AND(BJ252=3,BC245=1),DEC2HEX(_xlfn.BITXOR(_xlfn.BITXOR(BIN2DEC(RIGHT(HEX2BIN(BC252,8)&amp;LEFT(HEX2BIN($A$1,8),1),8)),HEX2DEC($B$1)),HEX2DEC(BC252))),BC252)))))))</f>
        <v>FB</v>
      </c>
      <c r="BN252" s="44" t="str">
        <f>DEC2HEX(_xlfn.BITXOR(_xlfn.BITXOR(_xlfn.BITXOR(HEX2DEC(IF(AND(BG252=3,BD242=0),DEC2HEX(_xlfn.BITXOR(BIN2DEC((RIGHT(HEX2BIN(BD249,8)&amp;LEFT(HEX2BIN($A$1,8),1),8))),HEX2DEC(BD249)),2),IF(AND(BG252=2,BD242=0),BIN2HEX(RIGHT(HEX2BIN(BD249,8)&amp;LEFT(HEX2BIN($A$1,8),1),8)),IF(AND(BG252=2,BD242=1),DEC2HEX(_xlfn.BITXOR(BIN2DEC(RIGHT(HEX2BIN(BD249,8)&amp;LEFT(HEX2BIN($A$1,8),1),8)),HEX2DEC($B$1))),IF(AND(BG252=3,BD242=1),DEC2HEX(_xlfn.BITXOR(_xlfn.BITXOR(BIN2DEC(RIGHT(HEX2BIN(BD249,8)&amp;LEFT(HEX2BIN($A$1,8),1),8)),HEX2DEC($B$1)),HEX2DEC(BD249))),BD249))))),HEX2DEC(IF(AND(BH252=3,BD243=0),DEC2HEX(_xlfn.BITXOR(BIN2DEC((RIGHT(HEX2BIN(BD250,8)&amp;LEFT(HEX2BIN($A$1,8),1),8))),HEX2DEC(BD250)),2),IF(AND(BH252=2,BD243=0),BIN2HEX(RIGHT(HEX2BIN(BD250,8)&amp;LEFT(HEX2BIN($A$1,8),1),8)),IF(AND(BH252=2,BD243=1),DEC2HEX(_xlfn.BITXOR(BIN2DEC(RIGHT(HEX2BIN(BD250,8)&amp;LEFT(HEX2BIN($A$1,8),1),8)),HEX2DEC($B$1))),IF(AND(BH252=3,BD243=1),DEC2HEX(_xlfn.BITXOR(_xlfn.BITXOR(BIN2DEC(RIGHT(HEX2BIN(BD250,8)&amp;LEFT(HEX2BIN($A$1,8),1),8)),HEX2DEC($B$1)),HEX2DEC(BD250))),BD250)))))),HEX2DEC(IF(AND(BI252=3,BD244=0),DEC2HEX(_xlfn.BITXOR(BIN2DEC((RIGHT(HEX2BIN(BD251,8)&amp;LEFT(HEX2BIN($A$1,8),1),8))),HEX2DEC(BD251)),2),IF(AND(BI252=2,BD244=0),BIN2HEX(RIGHT(HEX2BIN(BD251,8)&amp;LEFT(HEX2BIN($A$1,8),1),8)),IF(AND(BI252=2,BD244=1),DEC2HEX(_xlfn.BITXOR(BIN2DEC(RIGHT(HEX2BIN(BD251,8)&amp;LEFT(HEX2BIN($A$1,8),1),8)),HEX2DEC($B$1))),IF(AND(BI252=3,BD244=1),DEC2HEX(_xlfn.BITXOR(_xlfn.BITXOR(BIN2DEC(RIGHT(HEX2BIN(BD251,8)&amp;LEFT(HEX2BIN($A$1,8),1),8)),HEX2DEC($B$1)),HEX2DEC(BD251))),BD251)))))),HEX2DEC(IF(AND(BJ252=3,BD245=0),DEC2HEX(_xlfn.BITXOR(BIN2DEC((RIGHT(HEX2BIN(BD252,8)&amp;LEFT(HEX2BIN($A$1,8),1),8))),HEX2DEC(BD252)),2),IF(AND(BJ252=2,BD245=0),BIN2HEX(RIGHT(HEX2BIN(BD252,8)&amp;LEFT(HEX2BIN($A$1,8),1),8)),IF(AND(BJ252=2,BD245=1),DEC2HEX(_xlfn.BITXOR(BIN2DEC(RIGHT(HEX2BIN(BD252,8)&amp;LEFT(HEX2BIN($A$1,8),1),8)),HEX2DEC($B$1))),IF(AND(BJ252=3,BD245=1),DEC2HEX(_xlfn.BITXOR(_xlfn.BITXOR(BIN2DEC(RIGHT(HEX2BIN(BD252,8)&amp;LEFT(HEX2BIN($A$1,8),1),8)),HEX2DEC($B$1)),HEX2DEC(BD252))),BD252)))))))</f>
        <v>EC</v>
      </c>
      <c r="BO252" s="44" t="str">
        <f>DEC2HEX(_xlfn.BITXOR(_xlfn.BITXOR(_xlfn.BITXOR(HEX2DEC(IF(AND(BG252=3,BE242=0),DEC2HEX(_xlfn.BITXOR(BIN2DEC((RIGHT(HEX2BIN(BE249,8)&amp;LEFT(HEX2BIN($A$1,8),1),8))),HEX2DEC(BE249)),2),IF(AND(BG252=2,BE242=0),BIN2HEX(RIGHT(HEX2BIN(BE249,8)&amp;LEFT(HEX2BIN($A$1,8),1),8)),IF(AND(BG252=2,BE242=1),DEC2HEX(_xlfn.BITXOR(BIN2DEC(RIGHT(HEX2BIN(BE249,8)&amp;LEFT(HEX2BIN($A$1,8),1),8)),HEX2DEC($B$1))),IF(AND(BG252=3,BE242=1),DEC2HEX(_xlfn.BITXOR(_xlfn.BITXOR(BIN2DEC(RIGHT(HEX2BIN(BE249,8)&amp;LEFT(HEX2BIN($A$1,8),1),8)),HEX2DEC($B$1)),HEX2DEC(BE249))),BE249))))),HEX2DEC(IF(AND(BH252=3,BE243=0),DEC2HEX(_xlfn.BITXOR(BIN2DEC((RIGHT(HEX2BIN(BE250,8)&amp;LEFT(HEX2BIN($A$1,8),1),8))),HEX2DEC(BE250)),2),IF(AND(BH252=2,BE243=0),BIN2HEX(RIGHT(HEX2BIN(BE250,8)&amp;LEFT(HEX2BIN($A$1,8),1),8)),IF(AND(BH252=2,BE243=1),DEC2HEX(_xlfn.BITXOR(BIN2DEC(RIGHT(HEX2BIN(BE250,8)&amp;LEFT(HEX2BIN($A$1,8),1),8)),HEX2DEC($B$1))),IF(AND(BH252=3,BE243=1),DEC2HEX(_xlfn.BITXOR(_xlfn.BITXOR(BIN2DEC(RIGHT(HEX2BIN(BE250,8)&amp;LEFT(HEX2BIN($A$1,8),1),8)),HEX2DEC($B$1)),HEX2DEC(BE250))),BE250)))))),HEX2DEC(IF(AND(BI252=3,BE244=0),DEC2HEX(_xlfn.BITXOR(BIN2DEC((RIGHT(HEX2BIN(BE251,8)&amp;LEFT(HEX2BIN($A$1,8),1),8))),HEX2DEC(BE251)),2),IF(AND(BI252=2,BE244=0),BIN2HEX(RIGHT(HEX2BIN(BE251,8)&amp;LEFT(HEX2BIN($A$1,8),1),8)),IF(AND(BI252=2,BE244=1),DEC2HEX(_xlfn.BITXOR(BIN2DEC(RIGHT(HEX2BIN(BE251,8)&amp;LEFT(HEX2BIN($A$1,8),1),8)),HEX2DEC($B$1))),IF(AND(BI252=3,BE244=1),DEC2HEX(_xlfn.BITXOR(_xlfn.BITXOR(BIN2DEC(RIGHT(HEX2BIN(BE251,8)&amp;LEFT(HEX2BIN($A$1,8),1),8)),HEX2DEC($B$1)),HEX2DEC(BE251))),BE251)))))),HEX2DEC(IF(AND(BJ252=3,BE245=0),DEC2HEX(_xlfn.BITXOR(BIN2DEC((RIGHT(HEX2BIN(BE252,8)&amp;LEFT(HEX2BIN($A$1,8),1),8))),HEX2DEC(BE252)),2),IF(AND(BJ252=2,BE245=0),BIN2HEX(RIGHT(HEX2BIN(BE252,8)&amp;LEFT(HEX2BIN($A$1,8),1),8)),IF(AND(BJ252=2,BE245=1),DEC2HEX(_xlfn.BITXOR(BIN2DEC(RIGHT(HEX2BIN(BE252,8)&amp;LEFT(HEX2BIN($A$1,8),1),8)),HEX2DEC($B$1))),IF(AND(BJ252=3,BE245=1),DEC2HEX(_xlfn.BITXOR(_xlfn.BITXOR(BIN2DEC(RIGHT(HEX2BIN(BE252,8)&amp;LEFT(HEX2BIN($A$1,8),1),8)),HEX2DEC($B$1)),HEX2DEC(BE252))),BE252)))))))</f>
        <v>87</v>
      </c>
      <c r="BS252" s="44" t="s">
        <v>107</v>
      </c>
      <c r="BT252" s="44" t="s">
        <v>239</v>
      </c>
      <c r="BU252" s="44" t="s">
        <v>99</v>
      </c>
      <c r="BV252" s="44" t="s">
        <v>86</v>
      </c>
    </row>
    <row r="253" spans="2:74" x14ac:dyDescent="0.25">
      <c r="B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</row>
    <row r="254" spans="2:74" x14ac:dyDescent="0.25">
      <c r="B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</row>
    <row r="255" spans="2:74" x14ac:dyDescent="0.25">
      <c r="B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</row>
    <row r="256" spans="2:74" x14ac:dyDescent="0.25">
      <c r="B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</row>
    <row r="257" spans="2:31" x14ac:dyDescent="0.25">
      <c r="B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</row>
    <row r="258" spans="2:31" x14ac:dyDescent="0.25">
      <c r="B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</row>
    <row r="259" spans="2:31" x14ac:dyDescent="0.25">
      <c r="B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</row>
    <row r="260" spans="2:31" x14ac:dyDescent="0.25">
      <c r="B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</row>
    <row r="261" spans="2:31" x14ac:dyDescent="0.25">
      <c r="B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</row>
    <row r="262" spans="2:31" x14ac:dyDescent="0.25">
      <c r="B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</row>
    <row r="263" spans="2:31" x14ac:dyDescent="0.25">
      <c r="B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</row>
    <row r="264" spans="2:31" x14ac:dyDescent="0.25">
      <c r="B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</row>
    <row r="265" spans="2:31" x14ac:dyDescent="0.25">
      <c r="B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</row>
    <row r="266" spans="2:31" x14ac:dyDescent="0.25">
      <c r="B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</row>
    <row r="267" spans="2:31" x14ac:dyDescent="0.25">
      <c r="B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</row>
    <row r="268" spans="2:31" x14ac:dyDescent="0.25">
      <c r="B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</row>
    <row r="269" spans="2:31" x14ac:dyDescent="0.25">
      <c r="B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</row>
    <row r="270" spans="2:31" x14ac:dyDescent="0.25">
      <c r="B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</row>
    <row r="271" spans="2:31" x14ac:dyDescent="0.25">
      <c r="B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</row>
    <row r="272" spans="2:31" x14ac:dyDescent="0.25">
      <c r="B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</row>
    <row r="273" spans="2:67" x14ac:dyDescent="0.25">
      <c r="B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</row>
    <row r="274" spans="2:67" x14ac:dyDescent="0.25">
      <c r="B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</row>
    <row r="275" spans="2:67" x14ac:dyDescent="0.25">
      <c r="B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</row>
    <row r="276" spans="2:67" x14ac:dyDescent="0.25">
      <c r="B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</row>
    <row r="277" spans="2:67" x14ac:dyDescent="0.25">
      <c r="B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</row>
    <row r="278" spans="2:67" x14ac:dyDescent="0.25">
      <c r="B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</row>
    <row r="279" spans="2:67" x14ac:dyDescent="0.25">
      <c r="B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</row>
    <row r="280" spans="2:67" x14ac:dyDescent="0.25">
      <c r="B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BJ280" t="s">
        <v>179</v>
      </c>
      <c r="BK280"/>
      <c r="BL280" t="s">
        <v>181</v>
      </c>
      <c r="BM280" t="s">
        <v>182</v>
      </c>
      <c r="BN280" t="s">
        <v>180</v>
      </c>
      <c r="BO280" s="35"/>
    </row>
    <row r="281" spans="2:67" x14ac:dyDescent="0.25">
      <c r="B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BJ281" t="str">
        <f>BIN2HEX(RIGHT(HEX2BIN(BA299,8)&amp;LEFT(HEX2BIN($A$1,8),1),8))</f>
        <v>0</v>
      </c>
      <c r="BK281"/>
      <c r="BL281" t="str">
        <f>DEC2HEX(_xlfn.BITXOR(BIN2DEC(RIGHT(HEX2BIN(BC306,8)&amp;LEFT(HEX2BIN($A$1,8),1),8)),HEX2DEC($B$1)))</f>
        <v>1B</v>
      </c>
      <c r="BM281" t="str">
        <f>DEC2HEX(_xlfn.BITXOR(_xlfn.BITXOR(BIN2DEC(RIGHT(HEX2BIN(BC287,8)&amp;LEFT(HEX2BIN($A$1,8),1),8)),HEX2DEC($B$1)),HEX2DEC(BC287)))</f>
        <v>18</v>
      </c>
      <c r="BN281" t="str">
        <f>DEC2HEX(_xlfn.BITXOR(BIN2DEC((RIGHT(HEX2BIN(BA300,8)&amp;LEFT(HEX2BIN($A$1,8),1),8))),HEX2DEC(BA300)),2)</f>
        <v>00</v>
      </c>
      <c r="BO281" s="35"/>
    </row>
    <row r="282" spans="2:67" x14ac:dyDescent="0.25">
      <c r="B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BJ282" s="35"/>
      <c r="BK282" s="35"/>
      <c r="BL282" s="35"/>
      <c r="BM282" s="35"/>
      <c r="BN282" s="35"/>
      <c r="BO282" s="35"/>
    </row>
    <row r="283" spans="2:67" x14ac:dyDescent="0.25">
      <c r="B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BJ283" s="35"/>
      <c r="BK283" s="35"/>
      <c r="BL283" s="35"/>
      <c r="BM283" s="35"/>
      <c r="BN283" s="35"/>
      <c r="BO283" s="35"/>
    </row>
    <row r="284" spans="2:67" x14ac:dyDescent="0.25">
      <c r="B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BB284" s="75">
        <f>IF(BIN2DEC(LEFT(HEX2BIN(BB291,8),1))=0,0,1)</f>
        <v>1</v>
      </c>
      <c r="BC284" s="75">
        <f>IF(BIN2DEC(LEFT(HEX2BIN(BC291,8),1))=0,0,1)</f>
        <v>0</v>
      </c>
      <c r="BD284" s="75">
        <f>IF(BIN2DEC(LEFT(HEX2BIN(BD291,8),1))=0,0,1)</f>
        <v>0</v>
      </c>
      <c r="BE284" s="75">
        <f>IF(BIN2DEC(LEFT(HEX2BIN(BE291,8),1))=0,0,1)</f>
        <v>1</v>
      </c>
      <c r="BJ284" s="35"/>
      <c r="BK284" s="35"/>
      <c r="BL284" s="35" t="s">
        <v>215</v>
      </c>
      <c r="BM284" s="35"/>
      <c r="BN284" s="35"/>
      <c r="BO284" s="35"/>
    </row>
    <row r="285" spans="2:67" x14ac:dyDescent="0.25">
      <c r="B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BB285" s="75">
        <f t="shared" ref="BB285:BE285" si="176">IF(BIN2DEC(LEFT(HEX2BIN(BB292,8),1))=0,0,1)</f>
        <v>1</v>
      </c>
      <c r="BC285" s="75">
        <f t="shared" si="176"/>
        <v>1</v>
      </c>
      <c r="BD285" s="75">
        <f t="shared" si="176"/>
        <v>0</v>
      </c>
      <c r="BE285" s="75">
        <f t="shared" si="176"/>
        <v>0</v>
      </c>
      <c r="BF285" s="40"/>
      <c r="BG285" s="40"/>
      <c r="BH285" s="40"/>
      <c r="BI285" s="40"/>
      <c r="BJ285" s="40"/>
      <c r="BK285" s="35"/>
      <c r="BL285" s="35" t="str">
        <f>DEC2HEX(_xlfn.BITXOR(_xlfn.BITXOR(_xlfn.BITXOR(HEX2DEC(BK288),HEX2DEC(BL288)),HEX2DEC(BM288)),HEX2DEC(BN288)))</f>
        <v>D2</v>
      </c>
      <c r="BM285" s="35"/>
      <c r="BN285" s="35"/>
      <c r="BO285" s="35"/>
    </row>
    <row r="286" spans="2:67" x14ac:dyDescent="0.25">
      <c r="B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BB286" s="75">
        <f t="shared" ref="BB286:BE286" si="177">IF(BIN2DEC(LEFT(HEX2BIN(BB293,8),1))=0,0,1)</f>
        <v>1</v>
      </c>
      <c r="BC286" s="75">
        <f t="shared" si="177"/>
        <v>0</v>
      </c>
      <c r="BD286" s="75">
        <f t="shared" si="177"/>
        <v>0</v>
      </c>
      <c r="BE286" s="75">
        <f t="shared" si="177"/>
        <v>0</v>
      </c>
      <c r="BF286" s="40"/>
      <c r="BG286" s="40"/>
      <c r="BH286" s="40"/>
      <c r="BI286" s="40"/>
      <c r="BJ286" s="40"/>
      <c r="BK286" s="35"/>
      <c r="BL286" s="35"/>
      <c r="BM286" s="35"/>
      <c r="BN286" s="35"/>
      <c r="BO286" s="35"/>
    </row>
    <row r="287" spans="2:67" x14ac:dyDescent="0.25">
      <c r="B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BB287" s="75">
        <f t="shared" ref="BB287:BE287" si="178">IF(BIN2DEC(LEFT(HEX2BIN(BB294,8),1))=0,0,1)</f>
        <v>1</v>
      </c>
      <c r="BC287" s="75">
        <f t="shared" si="178"/>
        <v>1</v>
      </c>
      <c r="BD287" s="75">
        <f t="shared" si="178"/>
        <v>1</v>
      </c>
      <c r="BE287" s="75">
        <f t="shared" si="178"/>
        <v>0</v>
      </c>
      <c r="BF287" s="40"/>
      <c r="BG287" s="40"/>
      <c r="BH287" s="40"/>
      <c r="BI287" s="40"/>
      <c r="BJ287" s="40"/>
      <c r="BK287" s="35"/>
      <c r="BL287" s="35"/>
      <c r="BM287" s="35"/>
      <c r="BN287" s="35"/>
      <c r="BO287" s="35"/>
    </row>
    <row r="288" spans="2:67" ht="15.75" x14ac:dyDescent="0.25">
      <c r="B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H288" s="76" t="s">
        <v>279</v>
      </c>
      <c r="AW288" s="116" t="s">
        <v>233</v>
      </c>
      <c r="AX288" s="116"/>
      <c r="AY288" s="116"/>
      <c r="AZ288" s="116"/>
      <c r="BF288" s="40"/>
      <c r="BG288" s="40"/>
      <c r="BH288" s="40"/>
      <c r="BI288" s="40"/>
      <c r="BJ288" s="40"/>
      <c r="BK288" t="str">
        <f>DEC2HEX(_xlfn.BITXOR(BIN2DEC((RIGHT(HEX2BIN(BE291,8)&amp;LEFT(HEX2BIN($A$1,8),1),8))),HEX2DEC(BE291)),2)</f>
        <v>01</v>
      </c>
      <c r="BL288">
        <f>BE292</f>
        <v>44</v>
      </c>
      <c r="BM288">
        <f>BE293</f>
        <v>55</v>
      </c>
      <c r="BN288" t="str">
        <f>BIN2HEX(RIGHT(HEX2BIN(BE294,8)&amp;LEFT(HEX2BIN($A$1,8),1),8))</f>
        <v>C2</v>
      </c>
      <c r="BO288" s="35"/>
    </row>
    <row r="289" spans="2:74" x14ac:dyDescent="0.25">
      <c r="B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BB289" s="40"/>
      <c r="BC289" s="40"/>
      <c r="BD289" s="40"/>
      <c r="BE289" s="40"/>
      <c r="BF289" s="40"/>
      <c r="BG289" s="40"/>
      <c r="BH289" s="40"/>
      <c r="BI289" s="40"/>
      <c r="BJ289" s="40"/>
    </row>
    <row r="290" spans="2:74" x14ac:dyDescent="0.25">
      <c r="B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H290" s="116" t="s">
        <v>251</v>
      </c>
      <c r="AI290" s="116"/>
      <c r="AJ290" s="116"/>
      <c r="AK290" s="116"/>
      <c r="AR290" s="116" t="s">
        <v>221</v>
      </c>
      <c r="AS290" s="116"/>
      <c r="AT290" s="116"/>
      <c r="AU290" s="116"/>
      <c r="AW290" s="116" t="s">
        <v>222</v>
      </c>
      <c r="AX290" s="116"/>
      <c r="AY290" s="116"/>
      <c r="AZ290" s="116"/>
      <c r="BB290" s="118" t="s">
        <v>227</v>
      </c>
      <c r="BC290" s="118"/>
      <c r="BD290" s="118"/>
      <c r="BE290" s="118"/>
      <c r="BF290" s="40"/>
      <c r="BG290" s="40"/>
      <c r="BH290" s="40"/>
      <c r="BI290" s="40"/>
      <c r="BJ290" s="40"/>
      <c r="BL290" s="116" t="s">
        <v>230</v>
      </c>
      <c r="BM290" s="116"/>
      <c r="BN290" s="116"/>
      <c r="BO290" s="116"/>
    </row>
    <row r="291" spans="2:74" x14ac:dyDescent="0.25">
      <c r="B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H291" s="14" t="str">
        <f>V15</f>
        <v>6B</v>
      </c>
      <c r="AI291" s="14" t="str">
        <f>Y15</f>
        <v>C7</v>
      </c>
      <c r="AJ291" s="14" t="str">
        <f>AB15</f>
        <v>F5</v>
      </c>
      <c r="AK291" s="14" t="str">
        <f>AE15</f>
        <v>4</v>
      </c>
      <c r="AM291" s="1" t="str">
        <f>BL249</f>
        <v>E8</v>
      </c>
      <c r="AN291" s="35" t="str">
        <f t="shared" ref="AN291:AP294" si="179">BM249</f>
        <v>CF</v>
      </c>
      <c r="AO291" s="35" t="str">
        <f t="shared" si="179"/>
        <v>AE</v>
      </c>
      <c r="AP291" s="35" t="str">
        <f t="shared" si="179"/>
        <v>79</v>
      </c>
      <c r="AR291" s="35" t="str">
        <f>DEC2HEX(_xlfn.BITXOR(HEX2DEC(AH291),HEX2DEC(AM291)))</f>
        <v>83</v>
      </c>
      <c r="AS291" s="35" t="str">
        <f t="shared" ref="AS291:AS294" si="180">DEC2HEX(_xlfn.BITXOR(HEX2DEC(AI291),HEX2DEC(AN291)))</f>
        <v>8</v>
      </c>
      <c r="AT291" s="35" t="str">
        <f t="shared" ref="AT291:AT294" si="181">DEC2HEX(_xlfn.BITXOR(HEX2DEC(AJ291),HEX2DEC(AO291)))</f>
        <v>5B</v>
      </c>
      <c r="AU291" s="35" t="str">
        <f t="shared" ref="AU291:AU294" si="182">DEC2HEX(_xlfn.BITXOR(HEX2DEC(AK291),HEX2DEC(AP291)))</f>
        <v>7D</v>
      </c>
      <c r="AW291" s="1" t="s">
        <v>149</v>
      </c>
      <c r="AX291" s="1">
        <v>30</v>
      </c>
      <c r="AY291" s="1">
        <v>39</v>
      </c>
      <c r="AZ291" s="1" t="s">
        <v>119</v>
      </c>
      <c r="BB291" s="40" t="str">
        <f>AW291</f>
        <v>EC</v>
      </c>
      <c r="BC291" s="40">
        <f t="shared" ref="BC291" si="183">AX291</f>
        <v>30</v>
      </c>
      <c r="BD291" s="40">
        <f t="shared" ref="BD291" si="184">AY291</f>
        <v>39</v>
      </c>
      <c r="BE291" s="28" t="str">
        <f t="shared" ref="BE291" si="185">AZ291</f>
        <v>FF</v>
      </c>
      <c r="BF291" s="40"/>
      <c r="BG291" s="34">
        <v>2</v>
      </c>
      <c r="BH291" s="34">
        <v>3</v>
      </c>
      <c r="BI291" s="34">
        <v>1</v>
      </c>
      <c r="BJ291" s="34">
        <v>1</v>
      </c>
      <c r="BL291" s="44" t="str">
        <f>DEC2HEX(_xlfn.BITXOR(_xlfn.BITXOR(_xlfn.BITXOR(HEX2DEC(IF(AND(BG291=3,BB284=0),DEC2HEX(_xlfn.BITXOR(BIN2DEC((RIGHT(HEX2BIN(BB291,8)&amp;LEFT(HEX2BIN($A$1,8),1),8))),HEX2DEC(BB291)),2),IF(AND(BG291=2,BB284=0),BIN2HEX(RIGHT(HEX2BIN(BB291,8)&amp;LEFT(HEX2BIN($A$1,8),1),8)),IF(AND(BG291=2,BB284=1),DEC2HEX(_xlfn.BITXOR(BIN2DEC(RIGHT(HEX2BIN(BB291,8)&amp;LEFT(HEX2BIN($A$1,8),1),8)),HEX2DEC($B$1))),IF(AND(BG291=3,BB284=1),DEC2HEX(_xlfn.BITXOR(_xlfn.BITXOR(BIN2DEC(RIGHT(HEX2BIN(BB291,8)&amp;LEFT(HEX2BIN($A$1,8),1),8)),HEX2DEC($B$1)),HEX2DEC(BB291))),BB291))))),HEX2DEC(IF(AND(BH291=3,BB285=0),DEC2HEX(_xlfn.BITXOR(BIN2DEC((RIGHT(HEX2BIN(BB292,8)&amp;LEFT(HEX2BIN($A$1,8),1),8))),HEX2DEC(BB292)),2),IF(AND(BH291=2,BB285=0),BIN2HEX(RIGHT(HEX2BIN(BB292,8)&amp;LEFT(HEX2BIN($A$1,8),1),8)),IF(AND(BH291=2,BB285=1),DEC2HEX(_xlfn.BITXOR(BIN2DEC(RIGHT(HEX2BIN(BB292,8)&amp;LEFT(HEX2BIN($A$1,8),1),8)),HEX2DEC($B$1))),IF(AND(BH291=3,BB285=1),DEC2HEX(_xlfn.BITXOR(_xlfn.BITXOR(BIN2DEC(RIGHT(HEX2BIN(BB292,8)&amp;LEFT(HEX2BIN($A$1,8),1),8)),HEX2DEC($B$1)),HEX2DEC(BB292))),BB292)))))),HEX2DEC(IF(AND(BI291=3,BB286=0),DEC2HEX(_xlfn.BITXOR(BIN2DEC((RIGHT(HEX2BIN(BB293,8)&amp;LEFT(HEX2BIN($A$1,8),1),8))),HEX2DEC(BB293)),2),IF(AND(BI291=2,BB286=0),BIN2HEX(RIGHT(HEX2BIN(BB293,8)&amp;LEFT(HEX2BIN($A$1,8),1),8)),IF(AND(BI291=2,BB286=1),DEC2HEX(_xlfn.BITXOR(BIN2DEC(RIGHT(HEX2BIN(BB293,8)&amp;LEFT(HEX2BIN($A$1,8),1),8)),HEX2DEC($B$1))),IF(AND(BI291=3,BB286=1),DEC2HEX(_xlfn.BITXOR(_xlfn.BITXOR(BIN2DEC(RIGHT(HEX2BIN(BB293,8)&amp;LEFT(HEX2BIN($A$1,8),1),8)),HEX2DEC($B$1)),HEX2DEC(BB293))),BB293)))))),HEX2DEC(IF(AND(BJ291=3,BB287=0),DEC2HEX(_xlfn.BITXOR(BIN2DEC((RIGHT(HEX2BIN(BB294,8)&amp;LEFT(HEX2BIN($A$1,8),1),8))),HEX2DEC(BB294)),2),IF(AND(BJ291=2,BB287=0),BIN2HEX(RIGHT(HEX2BIN(BB294,8)&amp;LEFT(HEX2BIN($A$1,8),1),8)),IF(AND(BJ291=2,BB287=1),DEC2HEX(_xlfn.BITXOR(BIN2DEC(RIGHT(HEX2BIN(BB294,8)&amp;LEFT(HEX2BIN($A$1,8),1),8)),HEX2DEC($B$1))),IF(AND(BJ291=3,BB287=1),DEC2HEX(_xlfn.BITXOR(_xlfn.BITXOR(BIN2DEC(RIGHT(HEX2BIN(BB294,8)&amp;LEFT(HEX2BIN($A$1,8),1),8)),HEX2DEC($B$1)),HEX2DEC(BB294))),BB294)))))))</f>
        <v>1</v>
      </c>
      <c r="BM291" s="44" t="str">
        <f>DEC2HEX(_xlfn.BITXOR(_xlfn.BITXOR(_xlfn.BITXOR(HEX2DEC(IF(AND(BG291=3,BC284=0),DEC2HEX(_xlfn.BITXOR(BIN2DEC((RIGHT(HEX2BIN(BC291,8)&amp;LEFT(HEX2BIN($A$1,8),1),8))),HEX2DEC(BC291)),2),IF(AND(BG291=2,BC284=0),BIN2HEX(RIGHT(HEX2BIN(BC291,8)&amp;LEFT(HEX2BIN($A$1,8),1),8)),IF(AND(BG291=2,BC284=1),DEC2HEX(_xlfn.BITXOR(BIN2DEC(RIGHT(HEX2BIN(BC291,8)&amp;LEFT(HEX2BIN($A$1,8),1),8)),HEX2DEC($B$1))),IF(AND(BG291=3,BC284=1),DEC2HEX(_xlfn.BITXOR(_xlfn.BITXOR(BIN2DEC(RIGHT(HEX2BIN(BC291,8)&amp;LEFT(HEX2BIN($A$1,8),1),8)),HEX2DEC($B$1)),HEX2DEC(BC291))),BC291))))),HEX2DEC(IF(AND(BH291=3,BC285=0),DEC2HEX(_xlfn.BITXOR(BIN2DEC((RIGHT(HEX2BIN(BC292,8)&amp;LEFT(HEX2BIN($A$1,8),1),8))),HEX2DEC(BC292)),2),IF(AND(BH291=2,BC285=0),BIN2HEX(RIGHT(HEX2BIN(BC292,8)&amp;LEFT(HEX2BIN($A$1,8),1),8)),IF(AND(BH291=2,BC285=1),DEC2HEX(_xlfn.BITXOR(BIN2DEC(RIGHT(HEX2BIN(BC292,8)&amp;LEFT(HEX2BIN($A$1,8),1),8)),HEX2DEC($B$1))),IF(AND(BH291=3,BC285=1),DEC2HEX(_xlfn.BITXOR(_xlfn.BITXOR(BIN2DEC(RIGHT(HEX2BIN(BC292,8)&amp;LEFT(HEX2BIN($A$1,8),1),8)),HEX2DEC($B$1)),HEX2DEC(BC292))),BC292)))))),HEX2DEC(IF(AND(BI291=3,BC286=0),DEC2HEX(_xlfn.BITXOR(BIN2DEC((RIGHT(HEX2BIN(BC293,8)&amp;LEFT(HEX2BIN($A$1,8),1),8))),HEX2DEC(BC293)),2),IF(AND(BI291=2,BC286=0),BIN2HEX(RIGHT(HEX2BIN(BC293,8)&amp;LEFT(HEX2BIN($A$1,8),1),8)),IF(AND(BI291=2,BC286=1),DEC2HEX(_xlfn.BITXOR(BIN2DEC(RIGHT(HEX2BIN(BC293,8)&amp;LEFT(HEX2BIN($A$1,8),1),8)),HEX2DEC($B$1))),IF(AND(BI291=3,BC286=1),DEC2HEX(_xlfn.BITXOR(_xlfn.BITXOR(BIN2DEC(RIGHT(HEX2BIN(BC293,8)&amp;LEFT(HEX2BIN($A$1,8),1),8)),HEX2DEC($B$1)),HEX2DEC(BC293))),BC293)))))),HEX2DEC(IF(AND(BJ291=3,BC287=0),DEC2HEX(_xlfn.BITXOR(BIN2DEC((RIGHT(HEX2BIN(BC294,8)&amp;LEFT(HEX2BIN($A$1,8),1),8))),HEX2DEC(BC294)),2),IF(AND(BJ291=2,BC287=0),BIN2HEX(RIGHT(HEX2BIN(BC294,8)&amp;LEFT(HEX2BIN($A$1,8),1),8)),IF(AND(BJ291=2,BC287=1),DEC2HEX(_xlfn.BITXOR(BIN2DEC(RIGHT(HEX2BIN(BC294,8)&amp;LEFT(HEX2BIN($A$1,8),1),8)),HEX2DEC($B$1))),IF(AND(BJ291=3,BC287=1),DEC2HEX(_xlfn.BITXOR(_xlfn.BITXOR(BIN2DEC(RIGHT(HEX2BIN(BC294,8)&amp;LEFT(HEX2BIN($A$1,8),1),8)),HEX2DEC($B$1)),HEX2DEC(BC294))),BC294)))))))</f>
        <v>A9</v>
      </c>
      <c r="BN291" s="41" t="str">
        <f>DEC2HEX(_xlfn.BITXOR(_xlfn.BITXOR(_xlfn.BITXOR(HEX2DEC(IF(AND(BG291=3,BD284=0),DEC2HEX(_xlfn.BITXOR(BIN2DEC((RIGHT(HEX2BIN(BD291,8)&amp;LEFT(HEX2BIN($A$1,8),1),8))),HEX2DEC(BD291)),2),IF(AND(BG291=2,BD284=0),BIN2HEX(RIGHT(HEX2BIN(BD291,8)&amp;LEFT(HEX2BIN($A$1,8),1),8)),IF(AND(BG291=2,BD284=1),DEC2HEX(_xlfn.BITXOR(BIN2DEC(RIGHT(HEX2BIN(BD291,8)&amp;LEFT(HEX2BIN($A$1,8),1),8)),HEX2DEC($B$1))),IF(AND(BG291=3,BD284=1),DEC2HEX(_xlfn.BITXOR(_xlfn.BITXOR(BIN2DEC(RIGHT(HEX2BIN(BD291,8)&amp;LEFT(HEX2BIN($A$1,8),1),8)),HEX2DEC($B$1)),HEX2DEC(BD291))),BD291))))),HEX2DEC(IF(AND(BH291=3,BD285=0),DEC2HEX(_xlfn.BITXOR(BIN2DEC((RIGHT(HEX2BIN(BD292,8)&amp;LEFT(HEX2BIN($A$1,8),1),8))),HEX2DEC(BD292)),2),IF(AND(BH291=2,BD285=0),BIN2HEX(RIGHT(HEX2BIN(BD292,8)&amp;LEFT(HEX2BIN($A$1,8),1),8)),IF(AND(BH291=2,BD285=1),DEC2HEX(_xlfn.BITXOR(BIN2DEC(RIGHT(HEX2BIN(BD292,8)&amp;LEFT(HEX2BIN($A$1,8),1),8)),HEX2DEC($B$1))),IF(AND(BH291=3,BD285=1),DEC2HEX(_xlfn.BITXOR(_xlfn.BITXOR(BIN2DEC(RIGHT(HEX2BIN(BD292,8)&amp;LEFT(HEX2BIN($A$1,8),1),8)),HEX2DEC($B$1)),HEX2DEC(BD292))),BD292)))))),HEX2DEC(IF(AND(BI291=3,BD286=0),DEC2HEX(_xlfn.BITXOR(BIN2DEC((RIGHT(HEX2BIN(BD293,8)&amp;LEFT(HEX2BIN($A$1,8),1),8))),HEX2DEC(BD293)),2),IF(AND(BI291=2,BD286=0),BIN2HEX(RIGHT(HEX2BIN(BD293,8)&amp;LEFT(HEX2BIN($A$1,8),1),8)),IF(AND(BI291=2,BD286=1),DEC2HEX(_xlfn.BITXOR(BIN2DEC(RIGHT(HEX2BIN(BD293,8)&amp;LEFT(HEX2BIN($A$1,8),1),8)),HEX2DEC($B$1))),IF(AND(BI291=3,BD286=1),DEC2HEX(_xlfn.BITXOR(_xlfn.BITXOR(BIN2DEC(RIGHT(HEX2BIN(BD293,8)&amp;LEFT(HEX2BIN($A$1,8),1),8)),HEX2DEC($B$1)),HEX2DEC(BD293))),BD293)))))),HEX2DEC(IF(AND(BJ291=3,BD287=0),DEC2HEX(_xlfn.BITXOR(BIN2DEC((RIGHT(HEX2BIN(BD294,8)&amp;LEFT(HEX2BIN($A$1,8),1),8))),HEX2DEC(BD294)),2),IF(AND(BJ291=2,BD287=0),BIN2HEX(RIGHT(HEX2BIN(BD294,8)&amp;LEFT(HEX2BIN($A$1,8),1),8)),IF(AND(BJ291=2,BD287=1),DEC2HEX(_xlfn.BITXOR(BIN2DEC(RIGHT(HEX2BIN(BD294,8)&amp;LEFT(HEX2BIN($A$1,8),1),8)),HEX2DEC($B$1))),IF(AND(BJ291=3,BD287=1),DEC2HEX(_xlfn.BITXOR(_xlfn.BITXOR(BIN2DEC(RIGHT(HEX2BIN(BD294,8)&amp;LEFT(HEX2BIN($A$1,8),1),8)),HEX2DEC($B$1)),HEX2DEC(BD294))),BD294)))))))</f>
        <v>EE</v>
      </c>
      <c r="BO291" s="44" t="str">
        <f>DEC2HEX(_xlfn.BITXOR(_xlfn.BITXOR(_xlfn.BITXOR(HEX2DEC(IF(AND(BG291=3,BE284=0),DEC2HEX(_xlfn.BITXOR(BIN2DEC((RIGHT(HEX2BIN(BE291,8)&amp;LEFT(HEX2BIN($A$1,8),1),8))),HEX2DEC(BE291)),2),IF(AND(BG291=2,BE284=0),BIN2HEX(RIGHT(HEX2BIN(BE291,8)&amp;LEFT(HEX2BIN($A$1,8),1),8)),IF(AND(BG291=2,BE284=1),DEC2HEX(_xlfn.BITXOR(BIN2DEC(RIGHT(HEX2BIN(BE291,8)&amp;LEFT(HEX2BIN($A$1,8),1),8)),HEX2DEC($B$1))),IF(AND(BG291=3,BE284=1),DEC2HEX(_xlfn.BITXOR(_xlfn.BITXOR(BIN2DEC(RIGHT(HEX2BIN(BE291,8)&amp;LEFT(HEX2BIN($A$1,8),1),8)),HEX2DEC($B$1)),HEX2DEC(BE291))),BE291))))),HEX2DEC(IF(AND(BH291=3,BE285=0),DEC2HEX(_xlfn.BITXOR(BIN2DEC((RIGHT(HEX2BIN(BE292,8)&amp;LEFT(HEX2BIN($A$1,8),1),8))),HEX2DEC(BE292)),2),IF(AND(BH291=2,BE285=0),BIN2HEX(RIGHT(HEX2BIN(BE292,8)&amp;LEFT(HEX2BIN($A$1,8),1),8)),IF(AND(BH291=2,BE285=1),DEC2HEX(_xlfn.BITXOR(BIN2DEC(RIGHT(HEX2BIN(BE292,8)&amp;LEFT(HEX2BIN($A$1,8),1),8)),HEX2DEC($B$1))),IF(AND(BH291=3,BE285=1),DEC2HEX(_xlfn.BITXOR(_xlfn.BITXOR(BIN2DEC(RIGHT(HEX2BIN(BE292,8)&amp;LEFT(HEX2BIN($A$1,8),1),8)),HEX2DEC($B$1)),HEX2DEC(BE292))),BE292)))))),HEX2DEC(IF(AND(BI291=3,BE286=0),DEC2HEX(_xlfn.BITXOR(BIN2DEC((RIGHT(HEX2BIN(BE293,8)&amp;LEFT(HEX2BIN($A$1,8),1),8))),HEX2DEC(BE293)),2),IF(AND(BI291=2,BE286=0),BIN2HEX(RIGHT(HEX2BIN(BE293,8)&amp;LEFT(HEX2BIN($A$1,8),1),8)),IF(AND(BI291=2,BE286=1),DEC2HEX(_xlfn.BITXOR(BIN2DEC(RIGHT(HEX2BIN(BE293,8)&amp;LEFT(HEX2BIN($A$1,8),1),8)),HEX2DEC($B$1))),IF(AND(BI291=3,BE286=1),DEC2HEX(_xlfn.BITXOR(_xlfn.BITXOR(BIN2DEC(RIGHT(HEX2BIN(BE293,8)&amp;LEFT(HEX2BIN($A$1,8),1),8)),HEX2DEC($B$1)),HEX2DEC(BE293))),BE293)))))),HEX2DEC(IF(AND(BJ291=3,BE287=0),DEC2HEX(_xlfn.BITXOR(BIN2DEC((RIGHT(HEX2BIN(BE294,8)&amp;LEFT(HEX2BIN($A$1,8),1),8))),HEX2DEC(BE294)),2),IF(AND(BJ291=2,BE287=0),BIN2HEX(RIGHT(HEX2BIN(BE294,8)&amp;LEFT(HEX2BIN($A$1,8),1),8)),IF(AND(BJ291=2,BE287=1),DEC2HEX(_xlfn.BITXOR(BIN2DEC(RIGHT(HEX2BIN(BE294,8)&amp;LEFT(HEX2BIN($A$1,8),1),8)),HEX2DEC($B$1))),IF(AND(BJ291=3,BE287=1),DEC2HEX(_xlfn.BITXOR(_xlfn.BITXOR(BIN2DEC(RIGHT(HEX2BIN(BE294,8)&amp;LEFT(HEX2BIN($A$1,8),1),8)),HEX2DEC($B$1)),HEX2DEC(BE294))),BE294)))))))</f>
        <v>1D</v>
      </c>
      <c r="BS291" s="44" t="s">
        <v>156</v>
      </c>
      <c r="BT291" s="44">
        <v>67</v>
      </c>
      <c r="BU291" s="44" t="s">
        <v>135</v>
      </c>
      <c r="BV291" s="44">
        <v>12</v>
      </c>
    </row>
    <row r="292" spans="2:74" x14ac:dyDescent="0.25">
      <c r="B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H292" s="14" t="str">
        <f t="shared" ref="AH292:AH294" si="186">V16</f>
        <v>87</v>
      </c>
      <c r="AI292" s="14" t="str">
        <f t="shared" ref="AI292:AI294" si="187">Y16</f>
        <v>61</v>
      </c>
      <c r="AJ292" s="14" t="str">
        <f t="shared" ref="AJ292:AJ294" si="188">AB16</f>
        <v>75</v>
      </c>
      <c r="AK292" s="14" t="str">
        <f t="shared" ref="AK292:AK294" si="189">AE16</f>
        <v>B1</v>
      </c>
      <c r="AM292" s="35" t="str">
        <f t="shared" ref="AM292:AM294" si="190">BL250</f>
        <v>1</v>
      </c>
      <c r="AN292" s="35" t="str">
        <f t="shared" si="179"/>
        <v>2A</v>
      </c>
      <c r="AO292" s="35" t="str">
        <f t="shared" si="179"/>
        <v>44</v>
      </c>
      <c r="AP292" s="35" t="str">
        <f t="shared" si="179"/>
        <v>B9</v>
      </c>
      <c r="AR292" s="35" t="str">
        <f t="shared" ref="AR292:AR294" si="191">DEC2HEX(_xlfn.BITXOR(HEX2DEC(AH292),HEX2DEC(AM292)))</f>
        <v>86</v>
      </c>
      <c r="AS292" s="35" t="str">
        <f t="shared" si="180"/>
        <v>4B</v>
      </c>
      <c r="AT292" s="35" t="str">
        <f t="shared" si="181"/>
        <v>31</v>
      </c>
      <c r="AU292" s="35" t="str">
        <f t="shared" si="182"/>
        <v>8</v>
      </c>
      <c r="AW292" s="1">
        <v>44</v>
      </c>
      <c r="AX292" s="1" t="s">
        <v>200</v>
      </c>
      <c r="AY292" s="1" t="s">
        <v>159</v>
      </c>
      <c r="AZ292" s="1">
        <v>30</v>
      </c>
      <c r="BB292" s="40" t="str">
        <f>AX292</f>
        <v>B3</v>
      </c>
      <c r="BC292" s="40" t="str">
        <f t="shared" ref="BC292" si="192">AY292</f>
        <v>C7</v>
      </c>
      <c r="BD292" s="40">
        <f t="shared" ref="BD292" si="193">AZ292</f>
        <v>30</v>
      </c>
      <c r="BE292" s="29">
        <f>AW292</f>
        <v>44</v>
      </c>
      <c r="BF292" s="40"/>
      <c r="BG292" s="34">
        <v>1</v>
      </c>
      <c r="BH292" s="34">
        <v>2</v>
      </c>
      <c r="BI292" s="34">
        <v>3</v>
      </c>
      <c r="BJ292" s="34">
        <v>1</v>
      </c>
      <c r="BL292" s="44" t="str">
        <f>DEC2HEX(_xlfn.BITXOR(_xlfn.BITXOR(_xlfn.BITXOR(HEX2DEC(IF(AND(BG292=3,BB284=0),DEC2HEX(_xlfn.BITXOR(BIN2DEC((RIGHT(HEX2BIN(BB291,8)&amp;LEFT(HEX2BIN($A$1,8),1),8))),HEX2DEC(BB291)),2),IF(AND(BG292=2,BB284=0),BIN2HEX(RIGHT(HEX2BIN(BB291,8)&amp;LEFT(HEX2BIN($A$1,8),1),8)),IF(AND(BG292=2,BB284=1),DEC2HEX(_xlfn.BITXOR(BIN2DEC(RIGHT(HEX2BIN(BB291,8)&amp;LEFT(HEX2BIN($A$1,8),1),8)),HEX2DEC($B$1))),IF(AND(BG292=3,BB284=1),DEC2HEX(_xlfn.BITXOR(_xlfn.BITXOR(BIN2DEC(RIGHT(HEX2BIN(BB291,8)&amp;LEFT(HEX2BIN($A$1,8),1),8)),HEX2DEC($B$1)),HEX2DEC(BB291))),BB291))))),HEX2DEC(IF(AND(BH292=3,BB285=0),DEC2HEX(_xlfn.BITXOR(BIN2DEC((RIGHT(HEX2BIN(BB292,8)&amp;LEFT(HEX2BIN($A$1,8),1),8))),HEX2DEC(BB292)),2),IF(AND(BH292=2,BB285=0),BIN2HEX(RIGHT(HEX2BIN(BB292,8)&amp;LEFT(HEX2BIN($A$1,8),1),8)),IF(AND(BH292=2,BB285=1),DEC2HEX(_xlfn.BITXOR(BIN2DEC(RIGHT(HEX2BIN(BB292,8)&amp;LEFT(HEX2BIN($A$1,8),1),8)),HEX2DEC($B$1))),IF(AND(BH292=3,BB285=1),DEC2HEX(_xlfn.BITXOR(_xlfn.BITXOR(BIN2DEC(RIGHT(HEX2BIN(BB292,8)&amp;LEFT(HEX2BIN($A$1,8),1),8)),HEX2DEC($B$1)),HEX2DEC(BB292))),BB292)))))),HEX2DEC(IF(AND(BI292=3,BB286=0),DEC2HEX(_xlfn.BITXOR(BIN2DEC((RIGHT(HEX2BIN(BB293,8)&amp;LEFT(HEX2BIN($A$1,8),1),8))),HEX2DEC(BB293)),2),IF(AND(BI292=2,BB286=0),BIN2HEX(RIGHT(HEX2BIN(BB293,8)&amp;LEFT(HEX2BIN($A$1,8),1),8)),IF(AND(BI292=2,BB286=1),DEC2HEX(_xlfn.BITXOR(BIN2DEC(RIGHT(HEX2BIN(BB293,8)&amp;LEFT(HEX2BIN($A$1,8),1),8)),HEX2DEC($B$1))),IF(AND(BI292=3,BB286=1),DEC2HEX(_xlfn.BITXOR(_xlfn.BITXOR(BIN2DEC(RIGHT(HEX2BIN(BB293,8)&amp;LEFT(HEX2BIN($A$1,8),1),8)),HEX2DEC($B$1)),HEX2DEC(BB293))),BB293)))))),HEX2DEC(IF(AND(BJ292=3,BB287=0),DEC2HEX(_xlfn.BITXOR(BIN2DEC((RIGHT(HEX2BIN(BB294,8)&amp;LEFT(HEX2BIN($A$1,8),1),8))),HEX2DEC(BB294)),2),IF(AND(BJ292=2,BB287=0),BIN2HEX(RIGHT(HEX2BIN(BB294,8)&amp;LEFT(HEX2BIN($A$1,8),1),8)),IF(AND(BJ292=2,BB287=1),DEC2HEX(_xlfn.BITXOR(BIN2DEC(RIGHT(HEX2BIN(BB294,8)&amp;LEFT(HEX2BIN($A$1,8),1),8)),HEX2DEC($B$1))),IF(AND(BJ292=3,BB287=1),DEC2HEX(_xlfn.BITXOR(_xlfn.BITXOR(BIN2DEC(RIGHT(HEX2BIN(BB294,8)&amp;LEFT(HEX2BIN($A$1,8),1),8)),HEX2DEC($B$1)),HEX2DEC(BB294))),BB294)))))))</f>
        <v>6E</v>
      </c>
      <c r="BM292" s="44" t="str">
        <f>DEC2HEX(_xlfn.BITXOR(_xlfn.BITXOR(_xlfn.BITXOR(HEX2DEC(IF(AND(BG292=3,BC284=0),DEC2HEX(_xlfn.BITXOR(BIN2DEC((RIGHT(HEX2BIN(BC291,8)&amp;LEFT(HEX2BIN($A$1,8),1),8))),HEX2DEC(BC291)),2),IF(AND(BG292=2,BC284=0),BIN2HEX(RIGHT(HEX2BIN(BC291,8)&amp;LEFT(HEX2BIN($A$1,8),1),8)),IF(AND(BG292=2,BC284=1),DEC2HEX(_xlfn.BITXOR(BIN2DEC(RIGHT(HEX2BIN(BC291,8)&amp;LEFT(HEX2BIN($A$1,8),1),8)),HEX2DEC($B$1))),IF(AND(BG292=3,BC284=1),DEC2HEX(_xlfn.BITXOR(_xlfn.BITXOR(BIN2DEC(RIGHT(HEX2BIN(BC291,8)&amp;LEFT(HEX2BIN($A$1,8),1),8)),HEX2DEC($B$1)),HEX2DEC(BC291))),BC291))))),HEX2DEC(IF(AND(BH292=3,BC285=0),DEC2HEX(_xlfn.BITXOR(BIN2DEC((RIGHT(HEX2BIN(BC292,8)&amp;LEFT(HEX2BIN($A$1,8),1),8))),HEX2DEC(BC292)),2),IF(AND(BH292=2,BC285=0),BIN2HEX(RIGHT(HEX2BIN(BC292,8)&amp;LEFT(HEX2BIN($A$1,8),1),8)),IF(AND(BH292=2,BC285=1),DEC2HEX(_xlfn.BITXOR(BIN2DEC(RIGHT(HEX2BIN(BC292,8)&amp;LEFT(HEX2BIN($A$1,8),1),8)),HEX2DEC($B$1))),IF(AND(BH292=3,BC285=1),DEC2HEX(_xlfn.BITXOR(_xlfn.BITXOR(BIN2DEC(RIGHT(HEX2BIN(BC292,8)&amp;LEFT(HEX2BIN($A$1,8),1),8)),HEX2DEC($B$1)),HEX2DEC(BC292))),BC292)))))),HEX2DEC(IF(AND(BI292=3,BC286=0),DEC2HEX(_xlfn.BITXOR(BIN2DEC((RIGHT(HEX2BIN(BC293,8)&amp;LEFT(HEX2BIN($A$1,8),1),8))),HEX2DEC(BC293)),2),IF(AND(BI292=2,BC286=0),BIN2HEX(RIGHT(HEX2BIN(BC293,8)&amp;LEFT(HEX2BIN($A$1,8),1),8)),IF(AND(BI292=2,BC286=1),DEC2HEX(_xlfn.BITXOR(BIN2DEC(RIGHT(HEX2BIN(BC293,8)&amp;LEFT(HEX2BIN($A$1,8),1),8)),HEX2DEC($B$1))),IF(AND(BI292=3,BC286=1),DEC2HEX(_xlfn.BITXOR(_xlfn.BITXOR(BIN2DEC(RIGHT(HEX2BIN(BC293,8)&amp;LEFT(HEX2BIN($A$1,8),1),8)),HEX2DEC($B$1)),HEX2DEC(BC293))),BC293)))))),HEX2DEC(IF(AND(BJ292=3,BC287=0),DEC2HEX(_xlfn.BITXOR(BIN2DEC((RIGHT(HEX2BIN(BC294,8)&amp;LEFT(HEX2BIN($A$1,8),1),8))),HEX2DEC(BC294)),2),IF(AND(BJ292=2,BC287=0),BIN2HEX(RIGHT(HEX2BIN(BC294,8)&amp;LEFT(HEX2BIN($A$1,8),1),8)),IF(AND(BJ292=2,BC287=1),DEC2HEX(_xlfn.BITXOR(BIN2DEC(RIGHT(HEX2BIN(BC294,8)&amp;LEFT(HEX2BIN($A$1,8),1),8)),HEX2DEC($B$1))),IF(AND(BJ292=3,BC287=1),DEC2HEX(_xlfn.BITXOR(_xlfn.BITXOR(BIN2DEC(RIGHT(HEX2BIN(BC294,8)&amp;LEFT(HEX2BIN($A$1,8),1),8)),HEX2DEC($B$1)),HEX2DEC(BC294))),BC294)))))))</f>
        <v>52</v>
      </c>
      <c r="BN292" s="44" t="str">
        <f>DEC2HEX(_xlfn.BITXOR(_xlfn.BITXOR(_xlfn.BITXOR(HEX2DEC(IF(AND(BG292=3,BD284=0),DEC2HEX(_xlfn.BITXOR(BIN2DEC((RIGHT(HEX2BIN(BD291,8)&amp;LEFT(HEX2BIN($A$1,8),1),8))),HEX2DEC(BD291)),2),IF(AND(BG292=2,BD284=0),BIN2HEX(RIGHT(HEX2BIN(BD291,8)&amp;LEFT(HEX2BIN($A$1,8),1),8)),IF(AND(BG292=2,BD284=1),DEC2HEX(_xlfn.BITXOR(BIN2DEC(RIGHT(HEX2BIN(BD291,8)&amp;LEFT(HEX2BIN($A$1,8),1),8)),HEX2DEC($B$1))),IF(AND(BG292=3,BD284=1),DEC2HEX(_xlfn.BITXOR(_xlfn.BITXOR(BIN2DEC(RIGHT(HEX2BIN(BD291,8)&amp;LEFT(HEX2BIN($A$1,8),1),8)),HEX2DEC($B$1)),HEX2DEC(BD291))),BD291))))),HEX2DEC(IF(AND(BH292=3,BD285=0),DEC2HEX(_xlfn.BITXOR(BIN2DEC((RIGHT(HEX2BIN(BD292,8)&amp;LEFT(HEX2BIN($A$1,8),1),8))),HEX2DEC(BD292)),2),IF(AND(BH292=2,BD285=0),BIN2HEX(RIGHT(HEX2BIN(BD292,8)&amp;LEFT(HEX2BIN($A$1,8),1),8)),IF(AND(BH292=2,BD285=1),DEC2HEX(_xlfn.BITXOR(BIN2DEC(RIGHT(HEX2BIN(BD292,8)&amp;LEFT(HEX2BIN($A$1,8),1),8)),HEX2DEC($B$1))),IF(AND(BH292=3,BD285=1),DEC2HEX(_xlfn.BITXOR(_xlfn.BITXOR(BIN2DEC(RIGHT(HEX2BIN(BD292,8)&amp;LEFT(HEX2BIN($A$1,8),1),8)),HEX2DEC($B$1)),HEX2DEC(BD292))),BD292)))))),HEX2DEC(IF(AND(BI292=3,BD286=0),DEC2HEX(_xlfn.BITXOR(BIN2DEC((RIGHT(HEX2BIN(BD293,8)&amp;LEFT(HEX2BIN($A$1,8),1),8))),HEX2DEC(BD293)),2),IF(AND(BI292=2,BD286=0),BIN2HEX(RIGHT(HEX2BIN(BD293,8)&amp;LEFT(HEX2BIN($A$1,8),1),8)),IF(AND(BI292=2,BD286=1),DEC2HEX(_xlfn.BITXOR(BIN2DEC(RIGHT(HEX2BIN(BD293,8)&amp;LEFT(HEX2BIN($A$1,8),1),8)),HEX2DEC($B$1))),IF(AND(BI292=3,BD286=1),DEC2HEX(_xlfn.BITXOR(_xlfn.BITXOR(BIN2DEC(RIGHT(HEX2BIN(BD293,8)&amp;LEFT(HEX2BIN($A$1,8),1),8)),HEX2DEC($B$1)),HEX2DEC(BD293))),BD293)))))),HEX2DEC(IF(AND(BJ292=3,BD287=0),DEC2HEX(_xlfn.BITXOR(BIN2DEC((RIGHT(HEX2BIN(BD294,8)&amp;LEFT(HEX2BIN($A$1,8),1),8))),HEX2DEC(BD294)),2),IF(AND(BJ292=2,BD287=0),BIN2HEX(RIGHT(HEX2BIN(BD294,8)&amp;LEFT(HEX2BIN($A$1,8),1),8)),IF(AND(BJ292=2,BD287=1),DEC2HEX(_xlfn.BITXOR(BIN2DEC(RIGHT(HEX2BIN(BD294,8)&amp;LEFT(HEX2BIN($A$1,8),1),8)),HEX2DEC($B$1))),IF(AND(BJ292=3,BD287=1),DEC2HEX(_xlfn.BITXOR(_xlfn.BITXOR(BIN2DEC(RIGHT(HEX2BIN(BD294,8)&amp;LEFT(HEX2BIN($A$1,8),1),8)),HEX2DEC($B$1)),HEX2DEC(BD294))),BD294)))))))</f>
        <v>63</v>
      </c>
      <c r="BO292" s="44" t="str">
        <f>DEC2HEX(_xlfn.BITXOR(_xlfn.BITXOR(_xlfn.BITXOR(HEX2DEC(IF(AND(BG292=3,BE284=0),DEC2HEX(_xlfn.BITXOR(BIN2DEC((RIGHT(HEX2BIN(BE291,8)&amp;LEFT(HEX2BIN($A$1,8),1),8))),HEX2DEC(BE291)),2),IF(AND(BG292=2,BE284=0),BIN2HEX(RIGHT(HEX2BIN(BE291,8)&amp;LEFT(HEX2BIN($A$1,8),1),8)),IF(AND(BG292=2,BE284=1),DEC2HEX(_xlfn.BITXOR(BIN2DEC(RIGHT(HEX2BIN(BE291,8)&amp;LEFT(HEX2BIN($A$1,8),1),8)),HEX2DEC($B$1))),IF(AND(BG292=3,BE284=1),DEC2HEX(_xlfn.BITXOR(_xlfn.BITXOR(BIN2DEC(RIGHT(HEX2BIN(BE291,8)&amp;LEFT(HEX2BIN($A$1,8),1),8)),HEX2DEC($B$1)),HEX2DEC(BE291))),BE291))))),HEX2DEC(IF(AND(BH292=3,BE285=0),DEC2HEX(_xlfn.BITXOR(BIN2DEC((RIGHT(HEX2BIN(BE292,8)&amp;LEFT(HEX2BIN($A$1,8),1),8))),HEX2DEC(BE292)),2),IF(AND(BH292=2,BE285=0),BIN2HEX(RIGHT(HEX2BIN(BE292,8)&amp;LEFT(HEX2BIN($A$1,8),1),8)),IF(AND(BH292=2,BE285=1),DEC2HEX(_xlfn.BITXOR(BIN2DEC(RIGHT(HEX2BIN(BE292,8)&amp;LEFT(HEX2BIN($A$1,8),1),8)),HEX2DEC($B$1))),IF(AND(BH292=3,BE285=1),DEC2HEX(_xlfn.BITXOR(_xlfn.BITXOR(BIN2DEC(RIGHT(HEX2BIN(BE292,8)&amp;LEFT(HEX2BIN($A$1,8),1),8)),HEX2DEC($B$1)),HEX2DEC(BE292))),BE292)))))),HEX2DEC(IF(AND(BI292=3,BE286=0),DEC2HEX(_xlfn.BITXOR(BIN2DEC((RIGHT(HEX2BIN(BE293,8)&amp;LEFT(HEX2BIN($A$1,8),1),8))),HEX2DEC(BE293)),2),IF(AND(BI292=2,BE286=0),BIN2HEX(RIGHT(HEX2BIN(BE293,8)&amp;LEFT(HEX2BIN($A$1,8),1),8)),IF(AND(BI292=2,BE286=1),DEC2HEX(_xlfn.BITXOR(BIN2DEC(RIGHT(HEX2BIN(BE293,8)&amp;LEFT(HEX2BIN($A$1,8),1),8)),HEX2DEC($B$1))),IF(AND(BI292=3,BE286=1),DEC2HEX(_xlfn.BITXOR(_xlfn.BITXOR(BIN2DEC(RIGHT(HEX2BIN(BE293,8)&amp;LEFT(HEX2BIN($A$1,8),1),8)),HEX2DEC($B$1)),HEX2DEC(BE293))),BE293)))))),HEX2DEC(IF(AND(BJ292=3,BE287=0),DEC2HEX(_xlfn.BITXOR(BIN2DEC((RIGHT(HEX2BIN(BE294,8)&amp;LEFT(HEX2BIN($A$1,8),1),8))),HEX2DEC(BE294)),2),IF(AND(BJ292=2,BE287=0),BIN2HEX(RIGHT(HEX2BIN(BE294,8)&amp;LEFT(HEX2BIN($A$1,8),1),8)),IF(AND(BJ292=2,BE287=1),DEC2HEX(_xlfn.BITXOR(BIN2DEC(RIGHT(HEX2BIN(BE294,8)&amp;LEFT(HEX2BIN($A$1,8),1),8)),HEX2DEC($B$1))),IF(AND(BJ292=3,BE287=1),DEC2HEX(_xlfn.BITXOR(_xlfn.BITXOR(BIN2DEC(RIGHT(HEX2BIN(BE294,8)&amp;LEFT(HEX2BIN($A$1,8),1),8)),HEX2DEC($B$1)),HEX2DEC(BE294))),BE294)))))))</f>
        <v>E9</v>
      </c>
      <c r="BS292" s="44">
        <v>48</v>
      </c>
      <c r="BT292" s="44" t="s">
        <v>131</v>
      </c>
      <c r="BU292" s="44">
        <v>6</v>
      </c>
      <c r="BV292" s="44">
        <v>48</v>
      </c>
    </row>
    <row r="293" spans="2:74" x14ac:dyDescent="0.25">
      <c r="B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H293" s="14" t="str">
        <f t="shared" si="186"/>
        <v>32</v>
      </c>
      <c r="AI293" s="14" t="str">
        <f t="shared" si="187"/>
        <v>4E</v>
      </c>
      <c r="AJ293" s="14" t="str">
        <f t="shared" si="188"/>
        <v>CE</v>
      </c>
      <c r="AK293" s="14" t="str">
        <f t="shared" si="189"/>
        <v>B0</v>
      </c>
      <c r="AM293" s="35" t="str">
        <f t="shared" si="190"/>
        <v>31</v>
      </c>
      <c r="AN293" s="35" t="str">
        <f t="shared" si="179"/>
        <v>A3</v>
      </c>
      <c r="AO293" s="35" t="str">
        <f t="shared" si="179"/>
        <v>74</v>
      </c>
      <c r="AP293" s="35" t="str">
        <f t="shared" si="179"/>
        <v>94</v>
      </c>
      <c r="AR293" s="35" t="str">
        <f t="shared" si="191"/>
        <v>3</v>
      </c>
      <c r="AS293" s="35" t="str">
        <f t="shared" si="180"/>
        <v>ED</v>
      </c>
      <c r="AT293" s="35" t="str">
        <f t="shared" si="181"/>
        <v>BA</v>
      </c>
      <c r="AU293" s="35" t="str">
        <f t="shared" si="182"/>
        <v>24</v>
      </c>
      <c r="AW293" s="1" t="s">
        <v>116</v>
      </c>
      <c r="AX293" s="1">
        <v>55</v>
      </c>
      <c r="AY293" s="1" t="s">
        <v>120</v>
      </c>
      <c r="AZ293" s="1">
        <v>36</v>
      </c>
      <c r="BB293" s="40" t="str">
        <f>AY293</f>
        <v>F4</v>
      </c>
      <c r="BC293" s="40">
        <f>AZ293</f>
        <v>36</v>
      </c>
      <c r="BD293" s="40" t="str">
        <f>AW293</f>
        <v>7B</v>
      </c>
      <c r="BE293" s="29">
        <f>AX293</f>
        <v>55</v>
      </c>
      <c r="BF293" s="40"/>
      <c r="BG293" s="34">
        <v>1</v>
      </c>
      <c r="BH293" s="34">
        <v>1</v>
      </c>
      <c r="BI293" s="34">
        <v>2</v>
      </c>
      <c r="BJ293" s="34">
        <v>3</v>
      </c>
      <c r="BL293" s="44" t="str">
        <f>DEC2HEX(_xlfn.BITXOR(_xlfn.BITXOR(_xlfn.BITXOR(HEX2DEC(IF(AND(BG293=3,BB284=0),DEC2HEX(_xlfn.BITXOR(BIN2DEC((RIGHT(HEX2BIN(BB291,8)&amp;LEFT(HEX2BIN($A$1,8),1),8))),HEX2DEC(BB291)),2),IF(AND(BG293=2,BB284=0),BIN2HEX(RIGHT(HEX2BIN(BB291,8)&amp;LEFT(HEX2BIN($A$1,8),1),8)),IF(AND(BG293=2,BB284=1),DEC2HEX(_xlfn.BITXOR(BIN2DEC(RIGHT(HEX2BIN(BB291,8)&amp;LEFT(HEX2BIN($A$1,8),1),8)),HEX2DEC($B$1))),IF(AND(BG293=3,BB284=1),DEC2HEX(_xlfn.BITXOR(_xlfn.BITXOR(BIN2DEC(RIGHT(HEX2BIN(BB291,8)&amp;LEFT(HEX2BIN($A$1,8),1),8)),HEX2DEC($B$1)),HEX2DEC(BB291))),BB291))))),HEX2DEC(IF(AND(BH293=3,BB285=0),DEC2HEX(_xlfn.BITXOR(BIN2DEC((RIGHT(HEX2BIN(BB292,8)&amp;LEFT(HEX2BIN($A$1,8),1),8))),HEX2DEC(BB292)),2),IF(AND(BH293=2,BB285=0),BIN2HEX(RIGHT(HEX2BIN(BB292,8)&amp;LEFT(HEX2BIN($A$1,8),1),8)),IF(AND(BH293=2,BB285=1),DEC2HEX(_xlfn.BITXOR(BIN2DEC(RIGHT(HEX2BIN(BB292,8)&amp;LEFT(HEX2BIN($A$1,8),1),8)),HEX2DEC($B$1))),IF(AND(BH293=3,BB285=1),DEC2HEX(_xlfn.BITXOR(_xlfn.BITXOR(BIN2DEC(RIGHT(HEX2BIN(BB292,8)&amp;LEFT(HEX2BIN($A$1,8),1),8)),HEX2DEC($B$1)),HEX2DEC(BB292))),BB292)))))),HEX2DEC(IF(AND(BI293=3,BB286=0),DEC2HEX(_xlfn.BITXOR(BIN2DEC((RIGHT(HEX2BIN(BB293,8)&amp;LEFT(HEX2BIN($A$1,8),1),8))),HEX2DEC(BB293)),2),IF(AND(BI293=2,BB286=0),BIN2HEX(RIGHT(HEX2BIN(BB293,8)&amp;LEFT(HEX2BIN($A$1,8),1),8)),IF(AND(BI293=2,BB286=1),DEC2HEX(_xlfn.BITXOR(BIN2DEC(RIGHT(HEX2BIN(BB293,8)&amp;LEFT(HEX2BIN($A$1,8),1),8)),HEX2DEC($B$1))),IF(AND(BI293=3,BB286=1),DEC2HEX(_xlfn.BITXOR(_xlfn.BITXOR(BIN2DEC(RIGHT(HEX2BIN(BB293,8)&amp;LEFT(HEX2BIN($A$1,8),1),8)),HEX2DEC($B$1)),HEX2DEC(BB293))),BB293)))))),HEX2DEC(IF(AND(BJ293=3,BB287=0),DEC2HEX(_xlfn.BITXOR(BIN2DEC((RIGHT(HEX2BIN(BB294,8)&amp;LEFT(HEX2BIN($A$1,8),1),8))),HEX2DEC(BB294)),2),IF(AND(BJ293=2,BB287=0),BIN2HEX(RIGHT(HEX2BIN(BB294,8)&amp;LEFT(HEX2BIN($A$1,8),1),8)),IF(AND(BJ293=2,BB287=1),DEC2HEX(_xlfn.BITXOR(BIN2DEC(RIGHT(HEX2BIN(BB294,8)&amp;LEFT(HEX2BIN($A$1,8),1),8)),HEX2DEC($B$1))),IF(AND(BJ293=3,BB287=1),DEC2HEX(_xlfn.BITXOR(_xlfn.BITXOR(BIN2DEC(RIGHT(HEX2BIN(BB294,8)&amp;LEFT(HEX2BIN($A$1,8),1),8)),HEX2DEC($B$1)),HEX2DEC(BB294))),BB294)))))))</f>
        <v>BF</v>
      </c>
      <c r="BM293" s="44" t="str">
        <f>DEC2HEX(_xlfn.BITXOR(_xlfn.BITXOR(_xlfn.BITXOR(HEX2DEC(IF(AND(BG293=3,BC284=0),DEC2HEX(_xlfn.BITXOR(BIN2DEC((RIGHT(HEX2BIN(BC291,8)&amp;LEFT(HEX2BIN($A$1,8),1),8))),HEX2DEC(BC291)),2),IF(AND(BG293=2,BC284=0),BIN2HEX(RIGHT(HEX2BIN(BC291,8)&amp;LEFT(HEX2BIN($A$1,8),1),8)),IF(AND(BG293=2,BC284=1),DEC2HEX(_xlfn.BITXOR(BIN2DEC(RIGHT(HEX2BIN(BC291,8)&amp;LEFT(HEX2BIN($A$1,8),1),8)),HEX2DEC($B$1))),IF(AND(BG293=3,BC284=1),DEC2HEX(_xlfn.BITXOR(_xlfn.BITXOR(BIN2DEC(RIGHT(HEX2BIN(BC291,8)&amp;LEFT(HEX2BIN($A$1,8),1),8)),HEX2DEC($B$1)),HEX2DEC(BC291))),BC291))))),HEX2DEC(IF(AND(BH293=3,BC285=0),DEC2HEX(_xlfn.BITXOR(BIN2DEC((RIGHT(HEX2BIN(BC292,8)&amp;LEFT(HEX2BIN($A$1,8),1),8))),HEX2DEC(BC292)),2),IF(AND(BH293=2,BC285=0),BIN2HEX(RIGHT(HEX2BIN(BC292,8)&amp;LEFT(HEX2BIN($A$1,8),1),8)),IF(AND(BH293=2,BC285=1),DEC2HEX(_xlfn.BITXOR(BIN2DEC(RIGHT(HEX2BIN(BC292,8)&amp;LEFT(HEX2BIN($A$1,8),1),8)),HEX2DEC($B$1))),IF(AND(BH293=3,BC285=1),DEC2HEX(_xlfn.BITXOR(_xlfn.BITXOR(BIN2DEC(RIGHT(HEX2BIN(BC292,8)&amp;LEFT(HEX2BIN($A$1,8),1),8)),HEX2DEC($B$1)),HEX2DEC(BC292))),BC292)))))),HEX2DEC(IF(AND(BI293=3,BC286=0),DEC2HEX(_xlfn.BITXOR(BIN2DEC((RIGHT(HEX2BIN(BC293,8)&amp;LEFT(HEX2BIN($A$1,8),1),8))),HEX2DEC(BC293)),2),IF(AND(BI293=2,BC286=0),BIN2HEX(RIGHT(HEX2BIN(BC293,8)&amp;LEFT(HEX2BIN($A$1,8),1),8)),IF(AND(BI293=2,BC286=1),DEC2HEX(_xlfn.BITXOR(BIN2DEC(RIGHT(HEX2BIN(BC293,8)&amp;LEFT(HEX2BIN($A$1,8),1),8)),HEX2DEC($B$1))),IF(AND(BI293=3,BC286=1),DEC2HEX(_xlfn.BITXOR(_xlfn.BITXOR(BIN2DEC(RIGHT(HEX2BIN(BC293,8)&amp;LEFT(HEX2BIN($A$1,8),1),8)),HEX2DEC($B$1)),HEX2DEC(BC293))),BC293)))))),HEX2DEC(IF(AND(BJ293=3,BC287=0),DEC2HEX(_xlfn.BITXOR(BIN2DEC((RIGHT(HEX2BIN(BC294,8)&amp;LEFT(HEX2BIN($A$1,8),1),8))),HEX2DEC(BC294)),2),IF(AND(BJ293=2,BC287=0),BIN2HEX(RIGHT(HEX2BIN(BC294,8)&amp;LEFT(HEX2BIN($A$1,8),1),8)),IF(AND(BJ293=2,BC287=1),DEC2HEX(_xlfn.BITXOR(BIN2DEC(RIGHT(HEX2BIN(BC294,8)&amp;LEFT(HEX2BIN($A$1,8),1),8)),HEX2DEC($B$1))),IF(AND(BJ293=3,BC287=1),DEC2HEX(_xlfn.BITXOR(_xlfn.BITXOR(BIN2DEC(RIGHT(HEX2BIN(BC294,8)&amp;LEFT(HEX2BIN($A$1,8),1),8)),HEX2DEC($B$1)),HEX2DEC(BC294))),BC294)))))))</f>
        <v>77</v>
      </c>
      <c r="BN293" s="44" t="str">
        <f>DEC2HEX(_xlfn.BITXOR(_xlfn.BITXOR(_xlfn.BITXOR(HEX2DEC(IF(AND(BG293=3,BD284=0),DEC2HEX(_xlfn.BITXOR(BIN2DEC((RIGHT(HEX2BIN(BD291,8)&amp;LEFT(HEX2BIN($A$1,8),1),8))),HEX2DEC(BD291)),2),IF(AND(BG293=2,BD284=0),BIN2HEX(RIGHT(HEX2BIN(BD291,8)&amp;LEFT(HEX2BIN($A$1,8),1),8)),IF(AND(BG293=2,BD284=1),DEC2HEX(_xlfn.BITXOR(BIN2DEC(RIGHT(HEX2BIN(BD291,8)&amp;LEFT(HEX2BIN($A$1,8),1),8)),HEX2DEC($B$1))),IF(AND(BG293=3,BD284=1),DEC2HEX(_xlfn.BITXOR(_xlfn.BITXOR(BIN2DEC(RIGHT(HEX2BIN(BD291,8)&amp;LEFT(HEX2BIN($A$1,8),1),8)),HEX2DEC($B$1)),HEX2DEC(BD291))),BD291))))),HEX2DEC(IF(AND(BH293=3,BD285=0),DEC2HEX(_xlfn.BITXOR(BIN2DEC((RIGHT(HEX2BIN(BD292,8)&amp;LEFT(HEX2BIN($A$1,8),1),8))),HEX2DEC(BD292)),2),IF(AND(BH293=2,BD285=0),BIN2HEX(RIGHT(HEX2BIN(BD292,8)&amp;LEFT(HEX2BIN($A$1,8),1),8)),IF(AND(BH293=2,BD285=1),DEC2HEX(_xlfn.BITXOR(BIN2DEC(RIGHT(HEX2BIN(BD292,8)&amp;LEFT(HEX2BIN($A$1,8),1),8)),HEX2DEC($B$1))),IF(AND(BH293=3,BD285=1),DEC2HEX(_xlfn.BITXOR(_xlfn.BITXOR(BIN2DEC(RIGHT(HEX2BIN(BD292,8)&amp;LEFT(HEX2BIN($A$1,8),1),8)),HEX2DEC($B$1)),HEX2DEC(BD292))),BD292)))))),HEX2DEC(IF(AND(BI293=3,BD286=0),DEC2HEX(_xlfn.BITXOR(BIN2DEC((RIGHT(HEX2BIN(BD293,8)&amp;LEFT(HEX2BIN($A$1,8),1),8))),HEX2DEC(BD293)),2),IF(AND(BI293=2,BD286=0),BIN2HEX(RIGHT(HEX2BIN(BD293,8)&amp;LEFT(HEX2BIN($A$1,8),1),8)),IF(AND(BI293=2,BD286=1),DEC2HEX(_xlfn.BITXOR(BIN2DEC(RIGHT(HEX2BIN(BD293,8)&amp;LEFT(HEX2BIN($A$1,8),1),8)),HEX2DEC($B$1))),IF(AND(BI293=3,BD286=1),DEC2HEX(_xlfn.BITXOR(_xlfn.BITXOR(BIN2DEC(RIGHT(HEX2BIN(BD293,8)&amp;LEFT(HEX2BIN($A$1,8),1),8)),HEX2DEC($B$1)),HEX2DEC(BD293))),BD293)))))),HEX2DEC(IF(AND(BJ293=3,BD287=0),DEC2HEX(_xlfn.BITXOR(BIN2DEC((RIGHT(HEX2BIN(BD294,8)&amp;LEFT(HEX2BIN($A$1,8),1),8))),HEX2DEC(BD294)),2),IF(AND(BJ293=2,BD287=0),BIN2HEX(RIGHT(HEX2BIN(BD294,8)&amp;LEFT(HEX2BIN($A$1,8),1),8)),IF(AND(BJ293=2,BD287=1),DEC2HEX(_xlfn.BITXOR(BIN2DEC(RIGHT(HEX2BIN(BD294,8)&amp;LEFT(HEX2BIN($A$1,8),1),8)),HEX2DEC($B$1))),IF(AND(BJ293=3,BD287=1),DEC2HEX(_xlfn.BITXOR(_xlfn.BITXOR(BIN2DEC(RIGHT(HEX2BIN(BD294,8)&amp;LEFT(HEX2BIN($A$1,8),1),8)),HEX2DEC($B$1)),HEX2DEC(BD294))),BD294)))))))</f>
        <v>3D</v>
      </c>
      <c r="BO293" s="44" t="str">
        <f>DEC2HEX(_xlfn.BITXOR(_xlfn.BITXOR(_xlfn.BITXOR(HEX2DEC(IF(AND(BG293=3,BE284=0),DEC2HEX(_xlfn.BITXOR(BIN2DEC((RIGHT(HEX2BIN(BE291,8)&amp;LEFT(HEX2BIN($A$1,8),1),8))),HEX2DEC(BE291)),2),IF(AND(BG293=2,BE284=0),BIN2HEX(RIGHT(HEX2BIN(BE291,8)&amp;LEFT(HEX2BIN($A$1,8),1),8)),IF(AND(BG293=2,BE284=1),DEC2HEX(_xlfn.BITXOR(BIN2DEC(RIGHT(HEX2BIN(BE291,8)&amp;LEFT(HEX2BIN($A$1,8),1),8)),HEX2DEC($B$1))),IF(AND(BG293=3,BE284=1),DEC2HEX(_xlfn.BITXOR(_xlfn.BITXOR(BIN2DEC(RIGHT(HEX2BIN(BE291,8)&amp;LEFT(HEX2BIN($A$1,8),1),8)),HEX2DEC($B$1)),HEX2DEC(BE291))),BE291))))),HEX2DEC(IF(AND(BH293=3,BE285=0),DEC2HEX(_xlfn.BITXOR(BIN2DEC((RIGHT(HEX2BIN(BE292,8)&amp;LEFT(HEX2BIN($A$1,8),1),8))),HEX2DEC(BE292)),2),IF(AND(BH293=2,BE285=0),BIN2HEX(RIGHT(HEX2BIN(BE292,8)&amp;LEFT(HEX2BIN($A$1,8),1),8)),IF(AND(BH293=2,BE285=1),DEC2HEX(_xlfn.BITXOR(BIN2DEC(RIGHT(HEX2BIN(BE292,8)&amp;LEFT(HEX2BIN($A$1,8),1),8)),HEX2DEC($B$1))),IF(AND(BH293=3,BE285=1),DEC2HEX(_xlfn.BITXOR(_xlfn.BITXOR(BIN2DEC(RIGHT(HEX2BIN(BE292,8)&amp;LEFT(HEX2BIN($A$1,8),1),8)),HEX2DEC($B$1)),HEX2DEC(BE292))),BE292)))))),HEX2DEC(IF(AND(BI293=3,BE286=0),DEC2HEX(_xlfn.BITXOR(BIN2DEC((RIGHT(HEX2BIN(BE293,8)&amp;LEFT(HEX2BIN($A$1,8),1),8))),HEX2DEC(BE293)),2),IF(AND(BI293=2,BE286=0),BIN2HEX(RIGHT(HEX2BIN(BE293,8)&amp;LEFT(HEX2BIN($A$1,8),1),8)),IF(AND(BI293=2,BE286=1),DEC2HEX(_xlfn.BITXOR(BIN2DEC(RIGHT(HEX2BIN(BE293,8)&amp;LEFT(HEX2BIN($A$1,8),1),8)),HEX2DEC($B$1))),IF(AND(BI293=3,BE286=1),DEC2HEX(_xlfn.BITXOR(_xlfn.BITXOR(BIN2DEC(RIGHT(HEX2BIN(BE293,8)&amp;LEFT(HEX2BIN($A$1,8),1),8)),HEX2DEC($B$1)),HEX2DEC(BE293))),BE293)))))),HEX2DEC(IF(AND(BJ293=3,BE287=0),DEC2HEX(_xlfn.BITXOR(BIN2DEC((RIGHT(HEX2BIN(BE294,8)&amp;LEFT(HEX2BIN($A$1,8),1),8))),HEX2DEC(BE294)),2),IF(AND(BJ293=2,BE287=0),BIN2HEX(RIGHT(HEX2BIN(BE294,8)&amp;LEFT(HEX2BIN($A$1,8),1),8)),IF(AND(BJ293=2,BE287=1),DEC2HEX(_xlfn.BITXOR(BIN2DEC(RIGHT(HEX2BIN(BE294,8)&amp;LEFT(HEX2BIN($A$1,8),1),8)),HEX2DEC($B$1))),IF(AND(BJ293=3,BE287=1),DEC2HEX(_xlfn.BITXOR(_xlfn.BITXOR(BIN2DEC(RIGHT(HEX2BIN(BE294,8)&amp;LEFT(HEX2BIN($A$1,8),1),8)),HEX2DEC($B$1)),HEX2DEC(BE294))),BE294)))))))</f>
        <v>B2</v>
      </c>
      <c r="BS293" s="44" t="s">
        <v>73</v>
      </c>
      <c r="BT293" s="44" t="s">
        <v>150</v>
      </c>
      <c r="BU293" s="44" t="s">
        <v>109</v>
      </c>
      <c r="BV293" s="44" t="s">
        <v>128</v>
      </c>
    </row>
    <row r="294" spans="2:74" x14ac:dyDescent="0.25">
      <c r="B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H294" s="14" t="str">
        <f t="shared" si="186"/>
        <v>E1</v>
      </c>
      <c r="AI294" s="14" t="str">
        <f t="shared" si="187"/>
        <v>DB</v>
      </c>
      <c r="AJ294" s="14" t="str">
        <f t="shared" si="188"/>
        <v>34</v>
      </c>
      <c r="AK294" s="14" t="str">
        <f t="shared" si="189"/>
        <v>66</v>
      </c>
      <c r="AM294" s="35" t="str">
        <f t="shared" si="190"/>
        <v>F9</v>
      </c>
      <c r="AN294" s="35" t="str">
        <f t="shared" si="179"/>
        <v>FB</v>
      </c>
      <c r="AO294" s="35" t="str">
        <f t="shared" si="179"/>
        <v>EC</v>
      </c>
      <c r="AP294" s="35" t="str">
        <f t="shared" si="179"/>
        <v>87</v>
      </c>
      <c r="AR294" s="35" t="str">
        <f t="shared" si="191"/>
        <v>18</v>
      </c>
      <c r="AS294" s="35" t="str">
        <f t="shared" si="180"/>
        <v>20</v>
      </c>
      <c r="AT294" s="35" t="str">
        <f t="shared" si="181"/>
        <v>D8</v>
      </c>
      <c r="AU294" s="35" t="str">
        <f t="shared" si="182"/>
        <v>E1</v>
      </c>
      <c r="AW294" s="1" t="s">
        <v>239</v>
      </c>
      <c r="AX294" s="1" t="s">
        <v>129</v>
      </c>
      <c r="AY294" s="1">
        <v>61</v>
      </c>
      <c r="AZ294" s="1" t="s">
        <v>207</v>
      </c>
      <c r="BB294" s="40" t="str">
        <f>AZ294</f>
        <v>F8</v>
      </c>
      <c r="BC294" s="40" t="str">
        <f>AW294</f>
        <v>AD</v>
      </c>
      <c r="BD294" s="40" t="str">
        <f t="shared" ref="BD294" si="194">AX294</f>
        <v>B7</v>
      </c>
      <c r="BE294" s="30">
        <f t="shared" ref="BE294" si="195">AY294</f>
        <v>61</v>
      </c>
      <c r="BF294" s="40"/>
      <c r="BG294" s="31">
        <v>3</v>
      </c>
      <c r="BH294" s="32">
        <v>1</v>
      </c>
      <c r="BI294" s="32">
        <v>1</v>
      </c>
      <c r="BJ294" s="33">
        <v>2</v>
      </c>
      <c r="BL294" s="44" t="str">
        <f>DEC2HEX(_xlfn.BITXOR(_xlfn.BITXOR(_xlfn.BITXOR(HEX2DEC(IF(AND(BG294=3,BB284=0),DEC2HEX(_xlfn.BITXOR(BIN2DEC((RIGHT(HEX2BIN(BB291,8)&amp;LEFT(HEX2BIN($A$1,8),1),8))),HEX2DEC(BB291)),2),IF(AND(BG294=2,BB284=0),BIN2HEX(RIGHT(HEX2BIN(BB291,8)&amp;LEFT(HEX2BIN($A$1,8),1),8)),IF(AND(BG294=2,BB284=1),DEC2HEX(_xlfn.BITXOR(BIN2DEC(RIGHT(HEX2BIN(BB291,8)&amp;LEFT(HEX2BIN($A$1,8),1),8)),HEX2DEC($B$1))),IF(AND(BG294=3,BB284=1),DEC2HEX(_xlfn.BITXOR(_xlfn.BITXOR(BIN2DEC(RIGHT(HEX2BIN(BB291,8)&amp;LEFT(HEX2BIN($A$1,8),1),8)),HEX2DEC($B$1)),HEX2DEC(BB291))),BB291))))),HEX2DEC(IF(AND(BH294=3,BB285=0),DEC2HEX(_xlfn.BITXOR(BIN2DEC((RIGHT(HEX2BIN(BB292,8)&amp;LEFT(HEX2BIN($A$1,8),1),8))),HEX2DEC(BB292)),2),IF(AND(BH294=2,BB285=0),BIN2HEX(RIGHT(HEX2BIN(BB292,8)&amp;LEFT(HEX2BIN($A$1,8),1),8)),IF(AND(BH294=2,BB285=1),DEC2HEX(_xlfn.BITXOR(BIN2DEC(RIGHT(HEX2BIN(BB292,8)&amp;LEFT(HEX2BIN($A$1,8),1),8)),HEX2DEC($B$1))),IF(AND(BH294=3,BB285=1),DEC2HEX(_xlfn.BITXOR(_xlfn.BITXOR(BIN2DEC(RIGHT(HEX2BIN(BB292,8)&amp;LEFT(HEX2BIN($A$1,8),1),8)),HEX2DEC($B$1)),HEX2DEC(BB292))),BB292)))))),HEX2DEC(IF(AND(BI294=3,BB286=0),DEC2HEX(_xlfn.BITXOR(BIN2DEC((RIGHT(HEX2BIN(BB293,8)&amp;LEFT(HEX2BIN($A$1,8),1),8))),HEX2DEC(BB293)),2),IF(AND(BI294=2,BB286=0),BIN2HEX(RIGHT(HEX2BIN(BB293,8)&amp;LEFT(HEX2BIN($A$1,8),1),8)),IF(AND(BI294=2,BB286=1),DEC2HEX(_xlfn.BITXOR(BIN2DEC(RIGHT(HEX2BIN(BB293,8)&amp;LEFT(HEX2BIN($A$1,8),1),8)),HEX2DEC($B$1))),IF(AND(BI294=3,BB286=1),DEC2HEX(_xlfn.BITXOR(_xlfn.BITXOR(BIN2DEC(RIGHT(HEX2BIN(BB293,8)&amp;LEFT(HEX2BIN($A$1,8),1),8)),HEX2DEC($B$1)),HEX2DEC(BB293))),BB293)))))),HEX2DEC(IF(AND(BJ294=3,BB287=0),DEC2HEX(_xlfn.BITXOR(BIN2DEC((RIGHT(HEX2BIN(BB294,8)&amp;LEFT(HEX2BIN($A$1,8),1),8))),HEX2DEC(BB294)),2),IF(AND(BJ294=2,BB287=0),BIN2HEX(RIGHT(HEX2BIN(BB294,8)&amp;LEFT(HEX2BIN($A$1,8),1),8)),IF(AND(BJ294=2,BB287=1),DEC2HEX(_xlfn.BITXOR(BIN2DEC(RIGHT(HEX2BIN(BB294,8)&amp;LEFT(HEX2BIN($A$1,8),1),8)),HEX2DEC($B$1))),IF(AND(BJ294=3,BB287=1),DEC2HEX(_xlfn.BITXOR(_xlfn.BITXOR(BIN2DEC(RIGHT(HEX2BIN(BB294,8)&amp;LEFT(HEX2BIN($A$1,8),1),8)),HEX2DEC($B$1)),HEX2DEC(BB294))),BB294)))))))</f>
        <v>83</v>
      </c>
      <c r="BM294" s="44" t="str">
        <f>DEC2HEX(_xlfn.BITXOR(_xlfn.BITXOR(_xlfn.BITXOR(HEX2DEC(IF(AND(BG294=3,BC284=0),DEC2HEX(_xlfn.BITXOR(BIN2DEC((RIGHT(HEX2BIN(BC291,8)&amp;LEFT(HEX2BIN($A$1,8),1),8))),HEX2DEC(BC291)),2),IF(AND(BG294=2,BC284=0),BIN2HEX(RIGHT(HEX2BIN(BC291,8)&amp;LEFT(HEX2BIN($A$1,8),1),8)),IF(AND(BG294=2,BC284=1),DEC2HEX(_xlfn.BITXOR(BIN2DEC(RIGHT(HEX2BIN(BC291,8)&amp;LEFT(HEX2BIN($A$1,8),1),8)),HEX2DEC($B$1))),IF(AND(BG294=3,BC284=1),DEC2HEX(_xlfn.BITXOR(_xlfn.BITXOR(BIN2DEC(RIGHT(HEX2BIN(BC291,8)&amp;LEFT(HEX2BIN($A$1,8),1),8)),HEX2DEC($B$1)),HEX2DEC(BC291))),BC291))))),HEX2DEC(IF(AND(BH294=3,BC285=0),DEC2HEX(_xlfn.BITXOR(BIN2DEC((RIGHT(HEX2BIN(BC292,8)&amp;LEFT(HEX2BIN($A$1,8),1),8))),HEX2DEC(BC292)),2),IF(AND(BH294=2,BC285=0),BIN2HEX(RIGHT(HEX2BIN(BC292,8)&amp;LEFT(HEX2BIN($A$1,8),1),8)),IF(AND(BH294=2,BC285=1),DEC2HEX(_xlfn.BITXOR(BIN2DEC(RIGHT(HEX2BIN(BC292,8)&amp;LEFT(HEX2BIN($A$1,8),1),8)),HEX2DEC($B$1))),IF(AND(BH294=3,BC285=1),DEC2HEX(_xlfn.BITXOR(_xlfn.BITXOR(BIN2DEC(RIGHT(HEX2BIN(BC292,8)&amp;LEFT(HEX2BIN($A$1,8),1),8)),HEX2DEC($B$1)),HEX2DEC(BC292))),BC292)))))),HEX2DEC(IF(AND(BI294=3,BC286=0),DEC2HEX(_xlfn.BITXOR(BIN2DEC((RIGHT(HEX2BIN(BC293,8)&amp;LEFT(HEX2BIN($A$1,8),1),8))),HEX2DEC(BC293)),2),IF(AND(BI294=2,BC286=0),BIN2HEX(RIGHT(HEX2BIN(BC293,8)&amp;LEFT(HEX2BIN($A$1,8),1),8)),IF(AND(BI294=2,BC286=1),DEC2HEX(_xlfn.BITXOR(BIN2DEC(RIGHT(HEX2BIN(BC293,8)&amp;LEFT(HEX2BIN($A$1,8),1),8)),HEX2DEC($B$1))),IF(AND(BI294=3,BC286=1),DEC2HEX(_xlfn.BITXOR(_xlfn.BITXOR(BIN2DEC(RIGHT(HEX2BIN(BC293,8)&amp;LEFT(HEX2BIN($A$1,8),1),8)),HEX2DEC($B$1)),HEX2DEC(BC293))),BC293)))))),HEX2DEC(IF(AND(BJ294=3,BC287=0),DEC2HEX(_xlfn.BITXOR(BIN2DEC((RIGHT(HEX2BIN(BC294,8)&amp;LEFT(HEX2BIN($A$1,8),1),8))),HEX2DEC(BC294)),2),IF(AND(BJ294=2,BC287=0),BIN2HEX(RIGHT(HEX2BIN(BC294,8)&amp;LEFT(HEX2BIN($A$1,8),1),8)),IF(AND(BJ294=2,BC287=1),DEC2HEX(_xlfn.BITXOR(BIN2DEC(RIGHT(HEX2BIN(BC294,8)&amp;LEFT(HEX2BIN($A$1,8),1),8)),HEX2DEC($B$1))),IF(AND(BJ294=3,BC287=1),DEC2HEX(_xlfn.BITXOR(_xlfn.BITXOR(BIN2DEC(RIGHT(HEX2BIN(BC294,8)&amp;LEFT(HEX2BIN($A$1,8),1),8)),HEX2DEC($B$1)),HEX2DEC(BC294))),BC294)))))))</f>
        <v>E0</v>
      </c>
      <c r="BN294" s="44" t="str">
        <f>DEC2HEX(_xlfn.BITXOR(_xlfn.BITXOR(_xlfn.BITXOR(HEX2DEC(IF(AND(BG294=3,BD284=0),DEC2HEX(_xlfn.BITXOR(BIN2DEC((RIGHT(HEX2BIN(BD291,8)&amp;LEFT(HEX2BIN($A$1,8),1),8))),HEX2DEC(BD291)),2),IF(AND(BG294=2,BD284=0),BIN2HEX(RIGHT(HEX2BIN(BD291,8)&amp;LEFT(HEX2BIN($A$1,8),1),8)),IF(AND(BG294=2,BD284=1),DEC2HEX(_xlfn.BITXOR(BIN2DEC(RIGHT(HEX2BIN(BD291,8)&amp;LEFT(HEX2BIN($A$1,8),1),8)),HEX2DEC($B$1))),IF(AND(BG294=3,BD284=1),DEC2HEX(_xlfn.BITXOR(_xlfn.BITXOR(BIN2DEC(RIGHT(HEX2BIN(BD291,8)&amp;LEFT(HEX2BIN($A$1,8),1),8)),HEX2DEC($B$1)),HEX2DEC(BD291))),BD291))))),HEX2DEC(IF(AND(BH294=3,BD285=0),DEC2HEX(_xlfn.BITXOR(BIN2DEC((RIGHT(HEX2BIN(BD292,8)&amp;LEFT(HEX2BIN($A$1,8),1),8))),HEX2DEC(BD292)),2),IF(AND(BH294=2,BD285=0),BIN2HEX(RIGHT(HEX2BIN(BD292,8)&amp;LEFT(HEX2BIN($A$1,8),1),8)),IF(AND(BH294=2,BD285=1),DEC2HEX(_xlfn.BITXOR(BIN2DEC(RIGHT(HEX2BIN(BD292,8)&amp;LEFT(HEX2BIN($A$1,8),1),8)),HEX2DEC($B$1))),IF(AND(BH294=3,BD285=1),DEC2HEX(_xlfn.BITXOR(_xlfn.BITXOR(BIN2DEC(RIGHT(HEX2BIN(BD292,8)&amp;LEFT(HEX2BIN($A$1,8),1),8)),HEX2DEC($B$1)),HEX2DEC(BD292))),BD292)))))),HEX2DEC(IF(AND(BI294=3,BD286=0),DEC2HEX(_xlfn.BITXOR(BIN2DEC((RIGHT(HEX2BIN(BD293,8)&amp;LEFT(HEX2BIN($A$1,8),1),8))),HEX2DEC(BD293)),2),IF(AND(BI294=2,BD286=0),BIN2HEX(RIGHT(HEX2BIN(BD293,8)&amp;LEFT(HEX2BIN($A$1,8),1),8)),IF(AND(BI294=2,BD286=1),DEC2HEX(_xlfn.BITXOR(BIN2DEC(RIGHT(HEX2BIN(BD293,8)&amp;LEFT(HEX2BIN($A$1,8),1),8)),HEX2DEC($B$1))),IF(AND(BI294=3,BD286=1),DEC2HEX(_xlfn.BITXOR(_xlfn.BITXOR(BIN2DEC(RIGHT(HEX2BIN(BD293,8)&amp;LEFT(HEX2BIN($A$1,8),1),8)),HEX2DEC($B$1)),HEX2DEC(BD293))),BD293)))))),HEX2DEC(IF(AND(BJ294=3,BD287=0),DEC2HEX(_xlfn.BITXOR(BIN2DEC((RIGHT(HEX2BIN(BD294,8)&amp;LEFT(HEX2BIN($A$1,8),1),8))),HEX2DEC(BD294)),2),IF(AND(BJ294=2,BD287=0),BIN2HEX(RIGHT(HEX2BIN(BD294,8)&amp;LEFT(HEX2BIN($A$1,8),1),8)),IF(AND(BJ294=2,BD287=1),DEC2HEX(_xlfn.BITXOR(BIN2DEC(RIGHT(HEX2BIN(BD294,8)&amp;LEFT(HEX2BIN($A$1,8),1),8)),HEX2DEC($B$1))),IF(AND(BJ294=3,BD287=1),DEC2HEX(_xlfn.BITXOR(_xlfn.BITXOR(BIN2DEC(RIGHT(HEX2BIN(BD294,8)&amp;LEFT(HEX2BIN($A$1,8),1),8)),HEX2DEC($B$1)),HEX2DEC(BD294))),BD294)))))))</f>
        <v>75</v>
      </c>
      <c r="BO294" s="44" t="str">
        <f>DEC2HEX(_xlfn.BITXOR(_xlfn.BITXOR(_xlfn.BITXOR(HEX2DEC(IF(AND(BG294=3,BE284=0),DEC2HEX(_xlfn.BITXOR(BIN2DEC((RIGHT(HEX2BIN(BE291,8)&amp;LEFT(HEX2BIN($A$1,8),1),8))),HEX2DEC(BE291)),2),IF(AND(BG294=2,BE284=0),BIN2HEX(RIGHT(HEX2BIN(BE291,8)&amp;LEFT(HEX2BIN($A$1,8),1),8)),IF(AND(BG294=2,BE284=1),DEC2HEX(_xlfn.BITXOR(BIN2DEC(RIGHT(HEX2BIN(BE291,8)&amp;LEFT(HEX2BIN($A$1,8),1),8)),HEX2DEC($B$1))),IF(AND(BG294=3,BE284=1),DEC2HEX(_xlfn.BITXOR(_xlfn.BITXOR(BIN2DEC(RIGHT(HEX2BIN(BE291,8)&amp;LEFT(HEX2BIN($A$1,8),1),8)),HEX2DEC($B$1)),HEX2DEC(BE291))),BE291))))),HEX2DEC(IF(AND(BH294=3,BE285=0),DEC2HEX(_xlfn.BITXOR(BIN2DEC((RIGHT(HEX2BIN(BE292,8)&amp;LEFT(HEX2BIN($A$1,8),1),8))),HEX2DEC(BE292)),2),IF(AND(BH294=2,BE285=0),BIN2HEX(RIGHT(HEX2BIN(BE292,8)&amp;LEFT(HEX2BIN($A$1,8),1),8)),IF(AND(BH294=2,BE285=1),DEC2HEX(_xlfn.BITXOR(BIN2DEC(RIGHT(HEX2BIN(BE292,8)&amp;LEFT(HEX2BIN($A$1,8),1),8)),HEX2DEC($B$1))),IF(AND(BH294=3,BE285=1),DEC2HEX(_xlfn.BITXOR(_xlfn.BITXOR(BIN2DEC(RIGHT(HEX2BIN(BE292,8)&amp;LEFT(HEX2BIN($A$1,8),1),8)),HEX2DEC($B$1)),HEX2DEC(BE292))),BE292)))))),HEX2DEC(IF(AND(BI294=3,BE286=0),DEC2HEX(_xlfn.BITXOR(BIN2DEC((RIGHT(HEX2BIN(BE293,8)&amp;LEFT(HEX2BIN($A$1,8),1),8))),HEX2DEC(BE293)),2),IF(AND(BI294=2,BE286=0),BIN2HEX(RIGHT(HEX2BIN(BE293,8)&amp;LEFT(HEX2BIN($A$1,8),1),8)),IF(AND(BI294=2,BE286=1),DEC2HEX(_xlfn.BITXOR(BIN2DEC(RIGHT(HEX2BIN(BE293,8)&amp;LEFT(HEX2BIN($A$1,8),1),8)),HEX2DEC($B$1))),IF(AND(BI294=3,BE286=1),DEC2HEX(_xlfn.BITXOR(_xlfn.BITXOR(BIN2DEC(RIGHT(HEX2BIN(BE293,8)&amp;LEFT(HEX2BIN($A$1,8),1),8)),HEX2DEC($B$1)),HEX2DEC(BE293))),BE293)))))),HEX2DEC(IF(AND(BJ294=3,BE287=0),DEC2HEX(_xlfn.BITXOR(BIN2DEC((RIGHT(HEX2BIN(BE294,8)&amp;LEFT(HEX2BIN($A$1,8),1),8))),HEX2DEC(BE294)),2),IF(AND(BJ294=2,BE287=0),BIN2HEX(RIGHT(HEX2BIN(BE294,8)&amp;LEFT(HEX2BIN($A$1,8),1),8)),IF(AND(BJ294=2,BE287=1),DEC2HEX(_xlfn.BITXOR(BIN2DEC(RIGHT(HEX2BIN(BE294,8)&amp;LEFT(HEX2BIN($A$1,8),1),8)),HEX2DEC($B$1))),IF(AND(BJ294=3,BE287=1),DEC2HEX(_xlfn.BITXOR(_xlfn.BITXOR(BIN2DEC(RIGHT(HEX2BIN(BE294,8)&amp;LEFT(HEX2BIN($A$1,8),1),8)),HEX2DEC($B$1)),HEX2DEC(BE294))),BE294)))))))</f>
        <v>C9</v>
      </c>
      <c r="BS294" s="44">
        <v>30</v>
      </c>
      <c r="BT294" s="44" t="s">
        <v>95</v>
      </c>
      <c r="BU294" s="44" t="s">
        <v>160</v>
      </c>
      <c r="BV294" s="44">
        <v>15</v>
      </c>
    </row>
    <row r="295" spans="2:74" x14ac:dyDescent="0.25">
      <c r="B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</row>
    <row r="296" spans="2:74" x14ac:dyDescent="0.25">
      <c r="B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</row>
    <row r="297" spans="2:74" x14ac:dyDescent="0.25">
      <c r="B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</row>
    <row r="298" spans="2:74" x14ac:dyDescent="0.25">
      <c r="B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</row>
    <row r="299" spans="2:74" x14ac:dyDescent="0.25">
      <c r="B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</row>
    <row r="300" spans="2:74" x14ac:dyDescent="0.25">
      <c r="B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</row>
    <row r="301" spans="2:74" x14ac:dyDescent="0.25">
      <c r="B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</row>
    <row r="302" spans="2:74" x14ac:dyDescent="0.25">
      <c r="B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</row>
    <row r="303" spans="2:74" x14ac:dyDescent="0.25">
      <c r="B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</row>
    <row r="304" spans="2:74" x14ac:dyDescent="0.25">
      <c r="B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</row>
    <row r="305" spans="2:31" x14ac:dyDescent="0.25">
      <c r="B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</row>
    <row r="306" spans="2:31" x14ac:dyDescent="0.25">
      <c r="B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</row>
    <row r="307" spans="2:31" x14ac:dyDescent="0.25">
      <c r="B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</row>
    <row r="308" spans="2:31" x14ac:dyDescent="0.25">
      <c r="B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</row>
    <row r="309" spans="2:31" x14ac:dyDescent="0.25">
      <c r="B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</row>
    <row r="310" spans="2:31" x14ac:dyDescent="0.25">
      <c r="B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</row>
    <row r="311" spans="2:31" x14ac:dyDescent="0.25">
      <c r="B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</row>
    <row r="312" spans="2:31" x14ac:dyDescent="0.25">
      <c r="B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</row>
    <row r="313" spans="2:31" x14ac:dyDescent="0.25">
      <c r="B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</row>
    <row r="314" spans="2:31" x14ac:dyDescent="0.25">
      <c r="B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</row>
    <row r="315" spans="2:31" x14ac:dyDescent="0.25">
      <c r="B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</row>
    <row r="316" spans="2:31" x14ac:dyDescent="0.25">
      <c r="B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</row>
    <row r="317" spans="2:31" x14ac:dyDescent="0.25">
      <c r="B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</row>
    <row r="318" spans="2:31" x14ac:dyDescent="0.25">
      <c r="B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</row>
    <row r="319" spans="2:31" x14ac:dyDescent="0.25">
      <c r="B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</row>
    <row r="320" spans="2:31" x14ac:dyDescent="0.25">
      <c r="B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</row>
    <row r="321" spans="2:74" x14ac:dyDescent="0.25">
      <c r="B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BG321" s="35"/>
      <c r="BH321" s="35"/>
      <c r="BI321" s="35"/>
      <c r="BJ321" s="35"/>
      <c r="BK321" s="35"/>
      <c r="BL321" s="35"/>
      <c r="BM321" s="35"/>
      <c r="BN321" s="35"/>
      <c r="BO321" s="35"/>
    </row>
    <row r="322" spans="2:74" x14ac:dyDescent="0.25">
      <c r="B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BG322" s="35"/>
      <c r="BH322" s="35"/>
      <c r="BI322" s="35"/>
      <c r="BJ322" t="s">
        <v>179</v>
      </c>
      <c r="BK322"/>
      <c r="BL322" t="s">
        <v>181</v>
      </c>
      <c r="BM322" t="s">
        <v>182</v>
      </c>
      <c r="BN322" t="s">
        <v>180</v>
      </c>
      <c r="BO322" s="35"/>
    </row>
    <row r="323" spans="2:74" x14ac:dyDescent="0.25">
      <c r="B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BG323" s="35"/>
      <c r="BH323" s="35"/>
      <c r="BI323" s="35"/>
      <c r="BJ323" t="str">
        <f>BIN2HEX(RIGHT(HEX2BIN(BA341,8)&amp;LEFT(HEX2BIN($A$1,8),1),8))</f>
        <v>0</v>
      </c>
      <c r="BK323"/>
      <c r="BL323" t="str">
        <f>DEC2HEX(_xlfn.BITXOR(BIN2DEC(RIGHT(HEX2BIN(BC348,8)&amp;LEFT(HEX2BIN($A$1,8),1),8)),HEX2DEC($B$1)))</f>
        <v>1B</v>
      </c>
      <c r="BM323" t="str">
        <f>DEC2HEX(_xlfn.BITXOR(_xlfn.BITXOR(BIN2DEC(RIGHT(HEX2BIN(BC330,8)&amp;LEFT(HEX2BIN($A$1,8),1),8)),HEX2DEC($B$1)),HEX2DEC(BC330)))</f>
        <v>1B</v>
      </c>
      <c r="BN323" t="str">
        <f>DEC2HEX(_xlfn.BITXOR(BIN2DEC((RIGHT(HEX2BIN(BA342,8)&amp;LEFT(HEX2BIN($A$1,8),1),8))),HEX2DEC(BA342)),2)</f>
        <v>00</v>
      </c>
      <c r="BO323" s="35"/>
    </row>
    <row r="324" spans="2:74" x14ac:dyDescent="0.25">
      <c r="B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BG324" s="35"/>
      <c r="BH324" s="35"/>
      <c r="BI324" s="35"/>
      <c r="BJ324" s="35"/>
      <c r="BK324" s="35"/>
      <c r="BL324" s="35"/>
      <c r="BM324" s="35"/>
      <c r="BN324" s="35"/>
      <c r="BO324" s="35"/>
    </row>
    <row r="325" spans="2:74" x14ac:dyDescent="0.25">
      <c r="B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BF325" s="40"/>
      <c r="BG325" s="40"/>
      <c r="BH325" s="40"/>
      <c r="BI325" s="40"/>
      <c r="BJ325" s="40"/>
      <c r="BK325" s="35"/>
      <c r="BL325" s="35"/>
      <c r="BM325" s="35"/>
      <c r="BN325" s="35"/>
      <c r="BO325" s="35"/>
    </row>
    <row r="326" spans="2:74" x14ac:dyDescent="0.25">
      <c r="B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BB326" s="75">
        <f>IF(BIN2DEC(LEFT(HEX2BIN(BB333,8),1))=0,0,1)</f>
        <v>1</v>
      </c>
      <c r="BC326" s="75">
        <f>IF(BIN2DEC(LEFT(HEX2BIN(BC333,8),1))=0,0,1)</f>
        <v>1</v>
      </c>
      <c r="BD326" s="75">
        <f>IF(BIN2DEC(LEFT(HEX2BIN(BD333,8),1))=0,0,1)</f>
        <v>0</v>
      </c>
      <c r="BE326" s="75">
        <f>IF(BIN2DEC(LEFT(HEX2BIN(BE333,8),1))=0,0,1)</f>
        <v>1</v>
      </c>
      <c r="BF326" s="40"/>
      <c r="BG326" s="40"/>
      <c r="BH326" s="40"/>
      <c r="BI326" s="40"/>
      <c r="BJ326" s="40"/>
      <c r="BK326" s="35"/>
      <c r="BL326" s="35" t="s">
        <v>215</v>
      </c>
      <c r="BM326" s="35"/>
      <c r="BN326" s="35"/>
      <c r="BO326" s="35"/>
    </row>
    <row r="327" spans="2:74" x14ac:dyDescent="0.25">
      <c r="B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BB327" s="75">
        <f t="shared" ref="BB327:BE327" si="196">IF(BIN2DEC(LEFT(HEX2BIN(BB334,8),1))=0,0,1)</f>
        <v>0</v>
      </c>
      <c r="BC327" s="75">
        <f t="shared" si="196"/>
        <v>1</v>
      </c>
      <c r="BD327" s="75">
        <f t="shared" si="196"/>
        <v>0</v>
      </c>
      <c r="BE327" s="75">
        <f t="shared" si="196"/>
        <v>0</v>
      </c>
      <c r="BF327" s="40"/>
      <c r="BG327" s="40"/>
      <c r="BH327" s="40"/>
      <c r="BI327" s="40"/>
      <c r="BJ327" s="40"/>
      <c r="BK327" s="35"/>
      <c r="BL327" s="35" t="str">
        <f>DEC2HEX(_xlfn.BITXOR(_xlfn.BITXOR(_xlfn.BITXOR(HEX2DEC(BK330),HEX2DEC(BL330)),HEX2DEC(BM330)),HEX2DEC(BN330)))</f>
        <v>74</v>
      </c>
      <c r="BM327" s="35"/>
      <c r="BN327" s="35"/>
      <c r="BO327" s="35"/>
    </row>
    <row r="328" spans="2:74" x14ac:dyDescent="0.25">
      <c r="B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BB328" s="75">
        <f t="shared" ref="BB328:BE328" si="197">IF(BIN2DEC(LEFT(HEX2BIN(BB335,8),1))=0,0,1)</f>
        <v>0</v>
      </c>
      <c r="BC328" s="75">
        <f t="shared" si="197"/>
        <v>1</v>
      </c>
      <c r="BD328" s="75">
        <f t="shared" si="197"/>
        <v>0</v>
      </c>
      <c r="BE328" s="75">
        <f t="shared" si="197"/>
        <v>0</v>
      </c>
      <c r="BF328" s="40"/>
      <c r="BG328" s="40"/>
      <c r="BH328" s="40"/>
      <c r="BI328" s="40"/>
      <c r="BJ328" s="40"/>
      <c r="BK328" s="35"/>
      <c r="BL328" s="35"/>
      <c r="BM328" s="35"/>
      <c r="BN328" s="35"/>
      <c r="BO328" s="35"/>
    </row>
    <row r="329" spans="2:74" x14ac:dyDescent="0.25">
      <c r="B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BB329" s="75">
        <f t="shared" ref="BB329:BE329" si="198">IF(BIN2DEC(LEFT(HEX2BIN(BB336,8),1))=0,0,1)</f>
        <v>1</v>
      </c>
      <c r="BC329" s="75">
        <f t="shared" si="198"/>
        <v>1</v>
      </c>
      <c r="BD329" s="75">
        <f t="shared" si="198"/>
        <v>1</v>
      </c>
      <c r="BE329" s="75">
        <f t="shared" si="198"/>
        <v>0</v>
      </c>
      <c r="BF329" s="40"/>
      <c r="BG329" s="40"/>
      <c r="BH329" s="40"/>
      <c r="BI329" s="40"/>
      <c r="BJ329" s="40"/>
      <c r="BK329" s="35"/>
      <c r="BL329" s="35"/>
      <c r="BM329" s="35"/>
      <c r="BN329" s="35"/>
      <c r="BO329" s="35"/>
    </row>
    <row r="330" spans="2:74" ht="15.75" x14ac:dyDescent="0.25">
      <c r="B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H330" s="76" t="s">
        <v>280</v>
      </c>
      <c r="AW330" s="116" t="s">
        <v>234</v>
      </c>
      <c r="AX330" s="116"/>
      <c r="AY330" s="116"/>
      <c r="AZ330" s="116"/>
      <c r="BB330" s="40"/>
      <c r="BC330" s="40"/>
      <c r="BD330" s="40"/>
      <c r="BE330" s="40"/>
      <c r="BF330" s="40"/>
      <c r="BG330" s="40"/>
      <c r="BH330" s="40"/>
      <c r="BI330" s="40"/>
      <c r="BJ330" s="40"/>
      <c r="BK330" t="str">
        <f>DEC2HEX(_xlfn.BITXOR(_xlfn.BITXOR(BIN2DEC(RIGHT(HEX2BIN(BE333,8)&amp;LEFT(HEX2BIN($A$1,8),1),8)),HEX2DEC($B$1)),HEX2DEC(BE333)))</f>
        <v>A1</v>
      </c>
      <c r="BL330" t="str">
        <f>BE334</f>
        <v>4B</v>
      </c>
      <c r="BM330" t="str">
        <f>BE335</f>
        <v>4D</v>
      </c>
      <c r="BN330" t="str">
        <f>DEC2HEX(_xlfn.BITXOR(BIN2DEC(RIGHT(HEX2BIN(BE336,8)&amp;LEFT(HEX2BIN($A$1,8),1),8)),HEX2DEC($B$1)))</f>
        <v>D3</v>
      </c>
      <c r="BO330" s="35"/>
    </row>
    <row r="331" spans="2:74" x14ac:dyDescent="0.25">
      <c r="B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W331" s="35"/>
      <c r="AX331" s="35"/>
      <c r="AY331" s="35"/>
      <c r="AZ331" s="35"/>
      <c r="BB331" s="40"/>
      <c r="BC331" s="40"/>
      <c r="BD331" s="40"/>
      <c r="BE331" s="40"/>
      <c r="BF331" s="40"/>
      <c r="BG331" s="40"/>
      <c r="BH331" s="40"/>
      <c r="BI331" s="40"/>
      <c r="BJ331" s="40"/>
      <c r="BK331" s="35"/>
      <c r="BL331" s="35"/>
      <c r="BM331" s="35"/>
      <c r="BN331" s="35"/>
      <c r="BO331" s="35"/>
    </row>
    <row r="332" spans="2:74" x14ac:dyDescent="0.25">
      <c r="B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H332" s="116" t="s">
        <v>252</v>
      </c>
      <c r="AI332" s="116"/>
      <c r="AJ332" s="116"/>
      <c r="AK332" s="116"/>
      <c r="AR332" s="116" t="s">
        <v>221</v>
      </c>
      <c r="AS332" s="116"/>
      <c r="AT332" s="116"/>
      <c r="AU332" s="116"/>
      <c r="AW332" s="116" t="s">
        <v>222</v>
      </c>
      <c r="AX332" s="116"/>
      <c r="AY332" s="116"/>
      <c r="AZ332" s="116"/>
      <c r="BB332" s="118" t="s">
        <v>227</v>
      </c>
      <c r="BC332" s="118"/>
      <c r="BD332" s="118"/>
      <c r="BE332" s="118"/>
      <c r="BF332" s="40"/>
      <c r="BG332" s="40"/>
      <c r="BH332" s="40"/>
      <c r="BI332" s="40"/>
      <c r="BJ332" s="40"/>
      <c r="BK332" s="35"/>
      <c r="BL332" s="116" t="s">
        <v>230</v>
      </c>
      <c r="BM332" s="116"/>
      <c r="BN332" s="116"/>
      <c r="BO332" s="116"/>
    </row>
    <row r="333" spans="2:74" x14ac:dyDescent="0.25">
      <c r="B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H333" s="14" t="str">
        <f>H21</f>
        <v>C1</v>
      </c>
      <c r="AI333" s="14" t="str">
        <f>K21</f>
        <v>92</v>
      </c>
      <c r="AJ333" s="14" t="str">
        <f>N21</f>
        <v>88</v>
      </c>
      <c r="AK333" s="14" t="str">
        <f>Q21</f>
        <v>28</v>
      </c>
      <c r="AM333" s="1" t="str">
        <f>BL291</f>
        <v>1</v>
      </c>
      <c r="AN333" s="35" t="str">
        <f t="shared" ref="AN333:AP336" si="199">BM291</f>
        <v>A9</v>
      </c>
      <c r="AO333" s="35" t="str">
        <f t="shared" si="199"/>
        <v>EE</v>
      </c>
      <c r="AP333" s="35" t="str">
        <f t="shared" si="199"/>
        <v>1D</v>
      </c>
      <c r="AR333" s="35" t="str">
        <f>DEC2HEX(_xlfn.BITXOR(HEX2DEC(AH333),HEX2DEC(AM333)))</f>
        <v>C0</v>
      </c>
      <c r="AS333" s="35" t="str">
        <f t="shared" ref="AS333:AS336" si="200">DEC2HEX(_xlfn.BITXOR(HEX2DEC(AI333),HEX2DEC(AN333)))</f>
        <v>3B</v>
      </c>
      <c r="AT333" s="35" t="str">
        <f t="shared" ref="AT333:AT336" si="201">DEC2HEX(_xlfn.BITXOR(HEX2DEC(AJ333),HEX2DEC(AO333)))</f>
        <v>66</v>
      </c>
      <c r="AU333" s="35" t="str">
        <f t="shared" ref="AU333:AU336" si="202">DEC2HEX(_xlfn.BITXOR(HEX2DEC(AK333),HEX2DEC(AP333)))</f>
        <v>35</v>
      </c>
      <c r="AW333" s="1" t="s">
        <v>125</v>
      </c>
      <c r="AX333" s="1" t="s">
        <v>288</v>
      </c>
      <c r="AY333" s="1">
        <v>33</v>
      </c>
      <c r="AZ333" s="1">
        <v>96</v>
      </c>
      <c r="BB333" s="40" t="str">
        <f>AW333</f>
        <v>BA</v>
      </c>
      <c r="BC333" s="40" t="str">
        <f t="shared" ref="BC333" si="203">AX333</f>
        <v>E2</v>
      </c>
      <c r="BD333" s="40">
        <f t="shared" ref="BD333" si="204">AY333</f>
        <v>33</v>
      </c>
      <c r="BE333" s="28">
        <f t="shared" ref="BE333" si="205">AZ333</f>
        <v>96</v>
      </c>
      <c r="BF333" s="40"/>
      <c r="BG333" s="34">
        <v>2</v>
      </c>
      <c r="BH333" s="34">
        <v>3</v>
      </c>
      <c r="BI333" s="34">
        <v>1</v>
      </c>
      <c r="BJ333" s="34">
        <v>1</v>
      </c>
      <c r="BK333" s="35"/>
      <c r="BL333" s="44" t="str">
        <f>DEC2HEX(_xlfn.BITXOR(_xlfn.BITXOR(_xlfn.BITXOR(HEX2DEC(IF(AND(BG333=3,BB326=0),DEC2HEX(_xlfn.BITXOR(BIN2DEC((RIGHT(HEX2BIN(BB333,8)&amp;LEFT(HEX2BIN($A$1,8),1),8))),HEX2DEC(BB333)),2),IF(AND(BG333=2,BB326=0),BIN2HEX(RIGHT(HEX2BIN(BB333,8)&amp;LEFT(HEX2BIN($A$1,8),1),8)),IF(AND(BG333=2,BB326=1),DEC2HEX(_xlfn.BITXOR(BIN2DEC(RIGHT(HEX2BIN(BB333,8)&amp;LEFT(HEX2BIN($A$1,8),1),8)),HEX2DEC($B$1))),IF(AND(BG333=3,BB326=1),DEC2HEX(_xlfn.BITXOR(_xlfn.BITXOR(BIN2DEC(RIGHT(HEX2BIN(BB333,8)&amp;LEFT(HEX2BIN($A$1,8),1),8)),HEX2DEC($B$1)),HEX2DEC(BB333))),BB333))))),HEX2DEC(IF(AND(BH333=3,BB327=0),DEC2HEX(_xlfn.BITXOR(BIN2DEC((RIGHT(HEX2BIN(BB334,8)&amp;LEFT(HEX2BIN($A$1,8),1),8))),HEX2DEC(BB334)),2),IF(AND(BH333=2,BB327=0),BIN2HEX(RIGHT(HEX2BIN(BB334,8)&amp;LEFT(HEX2BIN($A$1,8),1),8)),IF(AND(BH333=2,BB327=1),DEC2HEX(_xlfn.BITXOR(BIN2DEC(RIGHT(HEX2BIN(BB334,8)&amp;LEFT(HEX2BIN($A$1,8),1),8)),HEX2DEC($B$1))),IF(AND(BH333=3,BB327=1),DEC2HEX(_xlfn.BITXOR(_xlfn.BITXOR(BIN2DEC(RIGHT(HEX2BIN(BB334,8)&amp;LEFT(HEX2BIN($A$1,8),1),8)),HEX2DEC($B$1)),HEX2DEC(BB334))),BB334)))))),HEX2DEC(IF(AND(BI333=3,BB328=0),DEC2HEX(_xlfn.BITXOR(BIN2DEC((RIGHT(HEX2BIN(BB335,8)&amp;LEFT(HEX2BIN($A$1,8),1),8))),HEX2DEC(BB335)),2),IF(AND(BI333=2,BB328=0),BIN2HEX(RIGHT(HEX2BIN(BB335,8)&amp;LEFT(HEX2BIN($A$1,8),1),8)),IF(AND(BI333=2,BB328=1),DEC2HEX(_xlfn.BITXOR(BIN2DEC(RIGHT(HEX2BIN(BB335,8)&amp;LEFT(HEX2BIN($A$1,8),1),8)),HEX2DEC($B$1))),IF(AND(BI333=3,BB328=1),DEC2HEX(_xlfn.BITXOR(_xlfn.BITXOR(BIN2DEC(RIGHT(HEX2BIN(BB335,8)&amp;LEFT(HEX2BIN($A$1,8),1),8)),HEX2DEC($B$1)),HEX2DEC(BB335))),BB335)))))),HEX2DEC(IF(AND(BJ333=3,BB329=0),DEC2HEX(_xlfn.BITXOR(BIN2DEC((RIGHT(HEX2BIN(BB336,8)&amp;LEFT(HEX2BIN($A$1,8),1),8))),HEX2DEC(BB336)),2),IF(AND(BJ333=2,BB329=0),BIN2HEX(RIGHT(HEX2BIN(BB336,8)&amp;LEFT(HEX2BIN($A$1,8),1),8)),IF(AND(BJ333=2,BB329=1),DEC2HEX(_xlfn.BITXOR(BIN2DEC(RIGHT(HEX2BIN(BB336,8)&amp;LEFT(HEX2BIN($A$1,8),1),8)),HEX2DEC($B$1))),IF(AND(BJ333=3,BB329=1),DEC2HEX(_xlfn.BITXOR(_xlfn.BITXOR(BIN2DEC(RIGHT(HEX2BIN(BB336,8)&amp;LEFT(HEX2BIN($A$1,8),1),8)),HEX2DEC($B$1)),HEX2DEC(BB336))),BB336)))))))</f>
        <v>7A</v>
      </c>
      <c r="BM333" s="44" t="str">
        <f>DEC2HEX(_xlfn.BITXOR(_xlfn.BITXOR(_xlfn.BITXOR(HEX2DEC(IF(AND(BG333=3,BC326=0),DEC2HEX(_xlfn.BITXOR(BIN2DEC((RIGHT(HEX2BIN(BC333,8)&amp;LEFT(HEX2BIN($A$1,8),1),8))),HEX2DEC(BC333)),2),IF(AND(BG333=2,BC326=0),BIN2HEX(RIGHT(HEX2BIN(BC333,8)&amp;LEFT(HEX2BIN($A$1,8),1),8)),IF(AND(BG333=2,BC326=1),DEC2HEX(_xlfn.BITXOR(BIN2DEC(RIGHT(HEX2BIN(BC333,8)&amp;LEFT(HEX2BIN($A$1,8),1),8)),HEX2DEC($B$1))),IF(AND(BG333=3,BC326=1),DEC2HEX(_xlfn.BITXOR(_xlfn.BITXOR(BIN2DEC(RIGHT(HEX2BIN(BC333,8)&amp;LEFT(HEX2BIN($A$1,8),1),8)),HEX2DEC($B$1)),HEX2DEC(BC333))),BC333))))),HEX2DEC(IF(AND(BH333=3,BC327=0),DEC2HEX(_xlfn.BITXOR(BIN2DEC((RIGHT(HEX2BIN(BC334,8)&amp;LEFT(HEX2BIN($A$1,8),1),8))),HEX2DEC(BC334)),2),IF(AND(BH333=2,BC327=0),BIN2HEX(RIGHT(HEX2BIN(BC334,8)&amp;LEFT(HEX2BIN($A$1,8),1),8)),IF(AND(BH333=2,BC327=1),DEC2HEX(_xlfn.BITXOR(BIN2DEC(RIGHT(HEX2BIN(BC334,8)&amp;LEFT(HEX2BIN($A$1,8),1),8)),HEX2DEC($B$1))),IF(AND(BH333=3,BC327=1),DEC2HEX(_xlfn.BITXOR(_xlfn.BITXOR(BIN2DEC(RIGHT(HEX2BIN(BC334,8)&amp;LEFT(HEX2BIN($A$1,8),1),8)),HEX2DEC($B$1)),HEX2DEC(BC334))),BC334)))))),HEX2DEC(IF(AND(BI333=3,BC328=0),DEC2HEX(_xlfn.BITXOR(BIN2DEC((RIGHT(HEX2BIN(BC335,8)&amp;LEFT(HEX2BIN($A$1,8),1),8))),HEX2DEC(BC335)),2),IF(AND(BI333=2,BC328=0),BIN2HEX(RIGHT(HEX2BIN(BC335,8)&amp;LEFT(HEX2BIN($A$1,8),1),8)),IF(AND(BI333=2,BC328=1),DEC2HEX(_xlfn.BITXOR(BIN2DEC(RIGHT(HEX2BIN(BC335,8)&amp;LEFT(HEX2BIN($A$1,8),1),8)),HEX2DEC($B$1))),IF(AND(BI333=3,BC328=1),DEC2HEX(_xlfn.BITXOR(_xlfn.BITXOR(BIN2DEC(RIGHT(HEX2BIN(BC335,8)&amp;LEFT(HEX2BIN($A$1,8),1),8)),HEX2DEC($B$1)),HEX2DEC(BC335))),BC335)))))),HEX2DEC(IF(AND(BJ333=3,BC329=0),DEC2HEX(_xlfn.BITXOR(BIN2DEC((RIGHT(HEX2BIN(BC336,8)&amp;LEFT(HEX2BIN($A$1,8),1),8))),HEX2DEC(BC336)),2),IF(AND(BJ333=2,BC329=0),BIN2HEX(RIGHT(HEX2BIN(BC336,8)&amp;LEFT(HEX2BIN($A$1,8),1),8)),IF(AND(BJ333=2,BC329=1),DEC2HEX(_xlfn.BITXOR(BIN2DEC(RIGHT(HEX2BIN(BC336,8)&amp;LEFT(HEX2BIN($A$1,8),1),8)),HEX2DEC($B$1))),IF(AND(BJ333=3,BC329=1),DEC2HEX(_xlfn.BITXOR(_xlfn.BITXOR(BIN2DEC(RIGHT(HEX2BIN(BC336,8)&amp;LEFT(HEX2BIN($A$1,8),1),8)),HEX2DEC($B$1)),HEX2DEC(BC336))),BC336)))))))</f>
        <v>F9</v>
      </c>
      <c r="BN333" s="41" t="str">
        <f>DEC2HEX(_xlfn.BITXOR(_xlfn.BITXOR(_xlfn.BITXOR(HEX2DEC(IF(AND(BG333=3,BD326=0),DEC2HEX(_xlfn.BITXOR(BIN2DEC((RIGHT(HEX2BIN(BD333,8)&amp;LEFT(HEX2BIN($A$1,8),1),8))),HEX2DEC(BD333)),2),IF(AND(BG333=2,BD326=0),BIN2HEX(RIGHT(HEX2BIN(BD333,8)&amp;LEFT(HEX2BIN($A$1,8),1),8)),IF(AND(BG333=2,BD326=1),DEC2HEX(_xlfn.BITXOR(BIN2DEC(RIGHT(HEX2BIN(BD333,8)&amp;LEFT(HEX2BIN($A$1,8),1),8)),HEX2DEC($B$1))),IF(AND(BG333=3,BD326=1),DEC2HEX(_xlfn.BITXOR(_xlfn.BITXOR(BIN2DEC(RIGHT(HEX2BIN(BD333,8)&amp;LEFT(HEX2BIN($A$1,8),1),8)),HEX2DEC($B$1)),HEX2DEC(BD333))),BD333))))),HEX2DEC(IF(AND(BH333=3,BD327=0),DEC2HEX(_xlfn.BITXOR(BIN2DEC((RIGHT(HEX2BIN(BD334,8)&amp;LEFT(HEX2BIN($A$1,8),1),8))),HEX2DEC(BD334)),2),IF(AND(BH333=2,BD327=0),BIN2HEX(RIGHT(HEX2BIN(BD334,8)&amp;LEFT(HEX2BIN($A$1,8),1),8)),IF(AND(BH333=2,BD327=1),DEC2HEX(_xlfn.BITXOR(BIN2DEC(RIGHT(HEX2BIN(BD334,8)&amp;LEFT(HEX2BIN($A$1,8),1),8)),HEX2DEC($B$1))),IF(AND(BH333=3,BD327=1),DEC2HEX(_xlfn.BITXOR(_xlfn.BITXOR(BIN2DEC(RIGHT(HEX2BIN(BD334,8)&amp;LEFT(HEX2BIN($A$1,8),1),8)),HEX2DEC($B$1)),HEX2DEC(BD334))),BD334)))))),HEX2DEC(IF(AND(BI333=3,BD328=0),DEC2HEX(_xlfn.BITXOR(BIN2DEC((RIGHT(HEX2BIN(BD335,8)&amp;LEFT(HEX2BIN($A$1,8),1),8))),HEX2DEC(BD335)),2),IF(AND(BI333=2,BD328=0),BIN2HEX(RIGHT(HEX2BIN(BD335,8)&amp;LEFT(HEX2BIN($A$1,8),1),8)),IF(AND(BI333=2,BD328=1),DEC2HEX(_xlfn.BITXOR(BIN2DEC(RIGHT(HEX2BIN(BD335,8)&amp;LEFT(HEX2BIN($A$1,8),1),8)),HEX2DEC($B$1))),IF(AND(BI333=3,BD328=1),DEC2HEX(_xlfn.BITXOR(_xlfn.BITXOR(BIN2DEC(RIGHT(HEX2BIN(BD335,8)&amp;LEFT(HEX2BIN($A$1,8),1),8)),HEX2DEC($B$1)),HEX2DEC(BD335))),BD335)))))),HEX2DEC(IF(AND(BJ333=3,BD329=0),DEC2HEX(_xlfn.BITXOR(BIN2DEC((RIGHT(HEX2BIN(BD336,8)&amp;LEFT(HEX2BIN($A$1,8),1),8))),HEX2DEC(BD336)),2),IF(AND(BJ333=2,BD329=0),BIN2HEX(RIGHT(HEX2BIN(BD336,8)&amp;LEFT(HEX2BIN($A$1,8),1),8)),IF(AND(BJ333=2,BD329=1),DEC2HEX(_xlfn.BITXOR(BIN2DEC(RIGHT(HEX2BIN(BD336,8)&amp;LEFT(HEX2BIN($A$1,8),1),8)),HEX2DEC($B$1))),IF(AND(BJ333=3,BD329=1),DEC2HEX(_xlfn.BITXOR(_xlfn.BITXOR(BIN2DEC(RIGHT(HEX2BIN(BD336,8)&amp;LEFT(HEX2BIN($A$1,8),1),8)),HEX2DEC($B$1)),HEX2DEC(BD336))),BD336)))))))</f>
        <v>E2</v>
      </c>
      <c r="BO333" s="44" t="str">
        <f>DEC2HEX(_xlfn.BITXOR(_xlfn.BITXOR(_xlfn.BITXOR(HEX2DEC(IF(AND(BG333=3,BE326=0),DEC2HEX(_xlfn.BITXOR(BIN2DEC((RIGHT(HEX2BIN(BE333,8)&amp;LEFT(HEX2BIN($A$1,8),1),8))),HEX2DEC(BE333)),2),IF(AND(BG333=2,BE326=0),BIN2HEX(RIGHT(HEX2BIN(BE333,8)&amp;LEFT(HEX2BIN($A$1,8),1),8)),IF(AND(BG333=2,BE326=1),DEC2HEX(_xlfn.BITXOR(BIN2DEC(RIGHT(HEX2BIN(BE333,8)&amp;LEFT(HEX2BIN($A$1,8),1),8)),HEX2DEC($B$1))),IF(AND(BG333=3,BE326=1),DEC2HEX(_xlfn.BITXOR(_xlfn.BITXOR(BIN2DEC(RIGHT(HEX2BIN(BE333,8)&amp;LEFT(HEX2BIN($A$1,8),1),8)),HEX2DEC($B$1)),HEX2DEC(BE333))),BE333))))),HEX2DEC(IF(AND(BH333=3,BE327=0),DEC2HEX(_xlfn.BITXOR(BIN2DEC((RIGHT(HEX2BIN(BE334,8)&amp;LEFT(HEX2BIN($A$1,8),1),8))),HEX2DEC(BE334)),2),IF(AND(BH333=2,BE327=0),BIN2HEX(RIGHT(HEX2BIN(BE334,8)&amp;LEFT(HEX2BIN($A$1,8),1),8)),IF(AND(BH333=2,BE327=1),DEC2HEX(_xlfn.BITXOR(BIN2DEC(RIGHT(HEX2BIN(BE334,8)&amp;LEFT(HEX2BIN($A$1,8),1),8)),HEX2DEC($B$1))),IF(AND(BH333=3,BE327=1),DEC2HEX(_xlfn.BITXOR(_xlfn.BITXOR(BIN2DEC(RIGHT(HEX2BIN(BE334,8)&amp;LEFT(HEX2BIN($A$1,8),1),8)),HEX2DEC($B$1)),HEX2DEC(BE334))),BE334)))))),HEX2DEC(IF(AND(BI333=3,BE328=0),DEC2HEX(_xlfn.BITXOR(BIN2DEC((RIGHT(HEX2BIN(BE335,8)&amp;LEFT(HEX2BIN($A$1,8),1),8))),HEX2DEC(BE335)),2),IF(AND(BI333=2,BE328=0),BIN2HEX(RIGHT(HEX2BIN(BE335,8)&amp;LEFT(HEX2BIN($A$1,8),1),8)),IF(AND(BI333=2,BE328=1),DEC2HEX(_xlfn.BITXOR(BIN2DEC(RIGHT(HEX2BIN(BE335,8)&amp;LEFT(HEX2BIN($A$1,8),1),8)),HEX2DEC($B$1))),IF(AND(BI333=3,BE328=1),DEC2HEX(_xlfn.BITXOR(_xlfn.BITXOR(BIN2DEC(RIGHT(HEX2BIN(BE335,8)&amp;LEFT(HEX2BIN($A$1,8),1),8)),HEX2DEC($B$1)),HEX2DEC(BE335))),BE335)))))),HEX2DEC(IF(AND(BJ333=3,BE329=0),DEC2HEX(_xlfn.BITXOR(BIN2DEC((RIGHT(HEX2BIN(BE336,8)&amp;LEFT(HEX2BIN($A$1,8),1),8))),HEX2DEC(BE336)),2),IF(AND(BJ333=2,BE329=0),BIN2HEX(RIGHT(HEX2BIN(BE336,8)&amp;LEFT(HEX2BIN($A$1,8),1),8)),IF(AND(BJ333=2,BE329=1),DEC2HEX(_xlfn.BITXOR(BIN2DEC(RIGHT(HEX2BIN(BE336,8)&amp;LEFT(HEX2BIN($A$1,8),1),8)),HEX2DEC($B$1))),IF(AND(BJ333=3,BE329=1),DEC2HEX(_xlfn.BITXOR(_xlfn.BITXOR(BIN2DEC(RIGHT(HEX2BIN(BE336,8)&amp;LEFT(HEX2BIN($A$1,8),1),8)),HEX2DEC($B$1)),HEX2DEC(BE336))),BE336)))))))</f>
        <v>C3</v>
      </c>
      <c r="BS333" s="44">
        <v>34</v>
      </c>
      <c r="BT333" s="44" t="s">
        <v>151</v>
      </c>
      <c r="BU333" s="44" t="s">
        <v>122</v>
      </c>
      <c r="BV333" s="44" t="s">
        <v>147</v>
      </c>
    </row>
    <row r="334" spans="2:74" x14ac:dyDescent="0.25">
      <c r="B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H334" s="14" t="str">
        <f t="shared" ref="AH334:AH336" si="206">H22</f>
        <v>A2</v>
      </c>
      <c r="AI334" s="14" t="str">
        <f t="shared" ref="AI334:AI336" si="207">K22</f>
        <v>9E</v>
      </c>
      <c r="AJ334" s="14" t="str">
        <f t="shared" ref="AJ334:AJ336" si="208">N22</f>
        <v>A</v>
      </c>
      <c r="AK334" s="14" t="str">
        <f t="shared" ref="AK334:AK336" si="209">Q22</f>
        <v>22</v>
      </c>
      <c r="AM334" s="35" t="str">
        <f t="shared" ref="AM334:AM336" si="210">BL292</f>
        <v>6E</v>
      </c>
      <c r="AN334" s="35" t="str">
        <f t="shared" si="199"/>
        <v>52</v>
      </c>
      <c r="AO334" s="35" t="str">
        <f t="shared" si="199"/>
        <v>63</v>
      </c>
      <c r="AP334" s="35" t="str">
        <f t="shared" si="199"/>
        <v>E9</v>
      </c>
      <c r="AR334" s="35" t="str">
        <f t="shared" ref="AR334:AR336" si="211">DEC2HEX(_xlfn.BITXOR(HEX2DEC(AH334),HEX2DEC(AM334)))</f>
        <v>CC</v>
      </c>
      <c r="AS334" s="35" t="str">
        <f t="shared" si="200"/>
        <v>CC</v>
      </c>
      <c r="AT334" s="35" t="str">
        <f t="shared" si="201"/>
        <v>69</v>
      </c>
      <c r="AU334" s="35" t="str">
        <f t="shared" si="202"/>
        <v>CB</v>
      </c>
      <c r="AW334" s="1" t="s">
        <v>197</v>
      </c>
      <c r="AX334" s="1" t="s">
        <v>197</v>
      </c>
      <c r="AY334" s="1" t="s">
        <v>71</v>
      </c>
      <c r="AZ334" s="1" t="s">
        <v>92</v>
      </c>
      <c r="BB334" s="40" t="str">
        <f>AX334</f>
        <v>4B</v>
      </c>
      <c r="BC334" s="40" t="str">
        <f t="shared" ref="BC334" si="212">AY334</f>
        <v>F9</v>
      </c>
      <c r="BD334" s="40" t="str">
        <f t="shared" ref="BD334" si="213">AZ334</f>
        <v>1F</v>
      </c>
      <c r="BE334" s="29" t="str">
        <f>AW334</f>
        <v>4B</v>
      </c>
      <c r="BF334" s="40"/>
      <c r="BG334" s="34">
        <v>1</v>
      </c>
      <c r="BH334" s="34">
        <v>2</v>
      </c>
      <c r="BI334" s="34">
        <v>3</v>
      </c>
      <c r="BJ334" s="34">
        <v>1</v>
      </c>
      <c r="BK334" s="35"/>
      <c r="BL334" s="44" t="str">
        <f>DEC2HEX(_xlfn.BITXOR(_xlfn.BITXOR(_xlfn.BITXOR(HEX2DEC(IF(AND(BG334=3,BB326=0),DEC2HEX(_xlfn.BITXOR(BIN2DEC((RIGHT(HEX2BIN(BB333,8)&amp;LEFT(HEX2BIN($A$1,8),1),8))),HEX2DEC(BB333)),2),IF(AND(BG334=2,BB326=0),BIN2HEX(RIGHT(HEX2BIN(BB333,8)&amp;LEFT(HEX2BIN($A$1,8),1),8)),IF(AND(BG334=2,BB326=1),DEC2HEX(_xlfn.BITXOR(BIN2DEC(RIGHT(HEX2BIN(BB333,8)&amp;LEFT(HEX2BIN($A$1,8),1),8)),HEX2DEC($B$1))),IF(AND(BG334=3,BB326=1),DEC2HEX(_xlfn.BITXOR(_xlfn.BITXOR(BIN2DEC(RIGHT(HEX2BIN(BB333,8)&amp;LEFT(HEX2BIN($A$1,8),1),8)),HEX2DEC($B$1)),HEX2DEC(BB333))),BB333))))),HEX2DEC(IF(AND(BH334=3,BB327=0),DEC2HEX(_xlfn.BITXOR(BIN2DEC((RIGHT(HEX2BIN(BB334,8)&amp;LEFT(HEX2BIN($A$1,8),1),8))),HEX2DEC(BB334)),2),IF(AND(BH334=2,BB327=0),BIN2HEX(RIGHT(HEX2BIN(BB334,8)&amp;LEFT(HEX2BIN($A$1,8),1),8)),IF(AND(BH334=2,BB327=1),DEC2HEX(_xlfn.BITXOR(BIN2DEC(RIGHT(HEX2BIN(BB334,8)&amp;LEFT(HEX2BIN($A$1,8),1),8)),HEX2DEC($B$1))),IF(AND(BH334=3,BB327=1),DEC2HEX(_xlfn.BITXOR(_xlfn.BITXOR(BIN2DEC(RIGHT(HEX2BIN(BB334,8)&amp;LEFT(HEX2BIN($A$1,8),1),8)),HEX2DEC($B$1)),HEX2DEC(BB334))),BB334)))))),HEX2DEC(IF(AND(BI334=3,BB328=0),DEC2HEX(_xlfn.BITXOR(BIN2DEC((RIGHT(HEX2BIN(BB335,8)&amp;LEFT(HEX2BIN($A$1,8),1),8))),HEX2DEC(BB335)),2),IF(AND(BI334=2,BB328=0),BIN2HEX(RIGHT(HEX2BIN(BB335,8)&amp;LEFT(HEX2BIN($A$1,8),1),8)),IF(AND(BI334=2,BB328=1),DEC2HEX(_xlfn.BITXOR(BIN2DEC(RIGHT(HEX2BIN(BB335,8)&amp;LEFT(HEX2BIN($A$1,8),1),8)),HEX2DEC($B$1))),IF(AND(BI334=3,BB328=1),DEC2HEX(_xlfn.BITXOR(_xlfn.BITXOR(BIN2DEC(RIGHT(HEX2BIN(BB335,8)&amp;LEFT(HEX2BIN($A$1,8),1),8)),HEX2DEC($B$1)),HEX2DEC(BB335))),BB335)))))),HEX2DEC(IF(AND(BJ334=3,BB329=0),DEC2HEX(_xlfn.BITXOR(BIN2DEC((RIGHT(HEX2BIN(BB336,8)&amp;LEFT(HEX2BIN($A$1,8),1),8))),HEX2DEC(BB336)),2),IF(AND(BJ334=2,BB329=0),BIN2HEX(RIGHT(HEX2BIN(BB336,8)&amp;LEFT(HEX2BIN($A$1,8),1),8)),IF(AND(BJ334=2,BB329=1),DEC2HEX(_xlfn.BITXOR(BIN2DEC(RIGHT(HEX2BIN(BB336,8)&amp;LEFT(HEX2BIN($A$1,8),1),8)),HEX2DEC($B$1))),IF(AND(BJ334=3,BB329=1),DEC2HEX(_xlfn.BITXOR(_xlfn.BITXOR(BIN2DEC(RIGHT(HEX2BIN(BB336,8)&amp;LEFT(HEX2BIN($A$1,8),1),8)),HEX2DEC($B$1)),HEX2DEC(BB336))),BB336)))))))</f>
        <v>86</v>
      </c>
      <c r="BM334" s="44" t="str">
        <f>DEC2HEX(_xlfn.BITXOR(_xlfn.BITXOR(_xlfn.BITXOR(HEX2DEC(IF(AND(BG334=3,BC326=0),DEC2HEX(_xlfn.BITXOR(BIN2DEC((RIGHT(HEX2BIN(BC333,8)&amp;LEFT(HEX2BIN($A$1,8),1),8))),HEX2DEC(BC333)),2),IF(AND(BG334=2,BC326=0),BIN2HEX(RIGHT(HEX2BIN(BC333,8)&amp;LEFT(HEX2BIN($A$1,8),1),8)),IF(AND(BG334=2,BC326=1),DEC2HEX(_xlfn.BITXOR(BIN2DEC(RIGHT(HEX2BIN(BC333,8)&amp;LEFT(HEX2BIN($A$1,8),1),8)),HEX2DEC($B$1))),IF(AND(BG334=3,BC326=1),DEC2HEX(_xlfn.BITXOR(_xlfn.BITXOR(BIN2DEC(RIGHT(HEX2BIN(BC333,8)&amp;LEFT(HEX2BIN($A$1,8),1),8)),HEX2DEC($B$1)),HEX2DEC(BC333))),BC333))))),HEX2DEC(IF(AND(BH334=3,BC327=0),DEC2HEX(_xlfn.BITXOR(BIN2DEC((RIGHT(HEX2BIN(BC334,8)&amp;LEFT(HEX2BIN($A$1,8),1),8))),HEX2DEC(BC334)),2),IF(AND(BH334=2,BC327=0),BIN2HEX(RIGHT(HEX2BIN(BC334,8)&amp;LEFT(HEX2BIN($A$1,8),1),8)),IF(AND(BH334=2,BC327=1),DEC2HEX(_xlfn.BITXOR(BIN2DEC(RIGHT(HEX2BIN(BC334,8)&amp;LEFT(HEX2BIN($A$1,8),1),8)),HEX2DEC($B$1))),IF(AND(BH334=3,BC327=1),DEC2HEX(_xlfn.BITXOR(_xlfn.BITXOR(BIN2DEC(RIGHT(HEX2BIN(BC334,8)&amp;LEFT(HEX2BIN($A$1,8),1),8)),HEX2DEC($B$1)),HEX2DEC(BC334))),BC334)))))),HEX2DEC(IF(AND(BI334=3,BC328=0),DEC2HEX(_xlfn.BITXOR(BIN2DEC((RIGHT(HEX2BIN(BC335,8)&amp;LEFT(HEX2BIN($A$1,8),1),8))),HEX2DEC(BC335)),2),IF(AND(BI334=2,BC328=0),BIN2HEX(RIGHT(HEX2BIN(BC335,8)&amp;LEFT(HEX2BIN($A$1,8),1),8)),IF(AND(BI334=2,BC328=1),DEC2HEX(_xlfn.BITXOR(BIN2DEC(RIGHT(HEX2BIN(BC335,8)&amp;LEFT(HEX2BIN($A$1,8),1),8)),HEX2DEC($B$1))),IF(AND(BI334=3,BC328=1),DEC2HEX(_xlfn.BITXOR(_xlfn.BITXOR(BIN2DEC(RIGHT(HEX2BIN(BC335,8)&amp;LEFT(HEX2BIN($A$1,8),1),8)),HEX2DEC($B$1)),HEX2DEC(BC335))),BC335)))))),HEX2DEC(IF(AND(BJ334=3,BC329=0),DEC2HEX(_xlfn.BITXOR(BIN2DEC((RIGHT(HEX2BIN(BC336,8)&amp;LEFT(HEX2BIN($A$1,8),1),8))),HEX2DEC(BC336)),2),IF(AND(BJ334=2,BC329=0),BIN2HEX(RIGHT(HEX2BIN(BC336,8)&amp;LEFT(HEX2BIN($A$1,8),1),8)),IF(AND(BJ334=2,BC329=1),DEC2HEX(_xlfn.BITXOR(BIN2DEC(RIGHT(HEX2BIN(BC336,8)&amp;LEFT(HEX2BIN($A$1,8),1),8)),HEX2DEC($B$1))),IF(AND(BJ334=3,BC329=1),DEC2HEX(_xlfn.BITXOR(_xlfn.BITXOR(BIN2DEC(RIGHT(HEX2BIN(BC336,8)&amp;LEFT(HEX2BIN($A$1,8),1),8)),HEX2DEC($B$1)),HEX2DEC(BC336))),BC336)))))))</f>
        <v>DA</v>
      </c>
      <c r="BN334" s="44" t="str">
        <f>DEC2HEX(_xlfn.BITXOR(_xlfn.BITXOR(_xlfn.BITXOR(HEX2DEC(IF(AND(BG334=3,BD326=0),DEC2HEX(_xlfn.BITXOR(BIN2DEC((RIGHT(HEX2BIN(BD333,8)&amp;LEFT(HEX2BIN($A$1,8),1),8))),HEX2DEC(BD333)),2),IF(AND(BG334=2,BD326=0),BIN2HEX(RIGHT(HEX2BIN(BD333,8)&amp;LEFT(HEX2BIN($A$1,8),1),8)),IF(AND(BG334=2,BD326=1),DEC2HEX(_xlfn.BITXOR(BIN2DEC(RIGHT(HEX2BIN(BD333,8)&amp;LEFT(HEX2BIN($A$1,8),1),8)),HEX2DEC($B$1))),IF(AND(BG334=3,BD326=1),DEC2HEX(_xlfn.BITXOR(_xlfn.BITXOR(BIN2DEC(RIGHT(HEX2BIN(BD333,8)&amp;LEFT(HEX2BIN($A$1,8),1),8)),HEX2DEC($B$1)),HEX2DEC(BD333))),BD333))))),HEX2DEC(IF(AND(BH334=3,BD327=0),DEC2HEX(_xlfn.BITXOR(BIN2DEC((RIGHT(HEX2BIN(BD334,8)&amp;LEFT(HEX2BIN($A$1,8),1),8))),HEX2DEC(BD334)),2),IF(AND(BH334=2,BD327=0),BIN2HEX(RIGHT(HEX2BIN(BD334,8)&amp;LEFT(HEX2BIN($A$1,8),1),8)),IF(AND(BH334=2,BD327=1),DEC2HEX(_xlfn.BITXOR(BIN2DEC(RIGHT(HEX2BIN(BD334,8)&amp;LEFT(HEX2BIN($A$1,8),1),8)),HEX2DEC($B$1))),IF(AND(BH334=3,BD327=1),DEC2HEX(_xlfn.BITXOR(_xlfn.BITXOR(BIN2DEC(RIGHT(HEX2BIN(BD334,8)&amp;LEFT(HEX2BIN($A$1,8),1),8)),HEX2DEC($B$1)),HEX2DEC(BD334))),BD334)))))),HEX2DEC(IF(AND(BI334=3,BD328=0),DEC2HEX(_xlfn.BITXOR(BIN2DEC((RIGHT(HEX2BIN(BD335,8)&amp;LEFT(HEX2BIN($A$1,8),1),8))),HEX2DEC(BD335)),2),IF(AND(BI334=2,BD328=0),BIN2HEX(RIGHT(HEX2BIN(BD335,8)&amp;LEFT(HEX2BIN($A$1,8),1),8)),IF(AND(BI334=2,BD328=1),DEC2HEX(_xlfn.BITXOR(BIN2DEC(RIGHT(HEX2BIN(BD335,8)&amp;LEFT(HEX2BIN($A$1,8),1),8)),HEX2DEC($B$1))),IF(AND(BI334=3,BD328=1),DEC2HEX(_xlfn.BITXOR(_xlfn.BITXOR(BIN2DEC(RIGHT(HEX2BIN(BD335,8)&amp;LEFT(HEX2BIN($A$1,8),1),8)),HEX2DEC($B$1)),HEX2DEC(BD335))),BD335)))))),HEX2DEC(IF(AND(BJ334=3,BD329=0),DEC2HEX(_xlfn.BITXOR(BIN2DEC((RIGHT(HEX2BIN(BD336,8)&amp;LEFT(HEX2BIN($A$1,8),1),8))),HEX2DEC(BD336)),2),IF(AND(BJ334=2,BD329=0),BIN2HEX(RIGHT(HEX2BIN(BD336,8)&amp;LEFT(HEX2BIN($A$1,8),1),8)),IF(AND(BJ334=2,BD329=1),DEC2HEX(_xlfn.BITXOR(BIN2DEC(RIGHT(HEX2BIN(BD336,8)&amp;LEFT(HEX2BIN($A$1,8),1),8)),HEX2DEC($B$1))),IF(AND(BJ334=3,BD329=1),DEC2HEX(_xlfn.BITXOR(_xlfn.BITXOR(BIN2DEC(RIGHT(HEX2BIN(BD336,8)&amp;LEFT(HEX2BIN($A$1,8),1),8)),HEX2DEC($B$1)),HEX2DEC(BD336))),BD336)))))))</f>
        <v>42</v>
      </c>
      <c r="BO334" s="44" t="str">
        <f>DEC2HEX(_xlfn.BITXOR(_xlfn.BITXOR(_xlfn.BITXOR(HEX2DEC(IF(AND(BG334=3,BE326=0),DEC2HEX(_xlfn.BITXOR(BIN2DEC((RIGHT(HEX2BIN(BE333,8)&amp;LEFT(HEX2BIN($A$1,8),1),8))),HEX2DEC(BE333)),2),IF(AND(BG334=2,BE326=0),BIN2HEX(RIGHT(HEX2BIN(BE333,8)&amp;LEFT(HEX2BIN($A$1,8),1),8)),IF(AND(BG334=2,BE326=1),DEC2HEX(_xlfn.BITXOR(BIN2DEC(RIGHT(HEX2BIN(BE333,8)&amp;LEFT(HEX2BIN($A$1,8),1),8)),HEX2DEC($B$1))),IF(AND(BG334=3,BE326=1),DEC2HEX(_xlfn.BITXOR(_xlfn.BITXOR(BIN2DEC(RIGHT(HEX2BIN(BE333,8)&amp;LEFT(HEX2BIN($A$1,8),1),8)),HEX2DEC($B$1)),HEX2DEC(BE333))),BE333))))),HEX2DEC(IF(AND(BH334=3,BE327=0),DEC2HEX(_xlfn.BITXOR(BIN2DEC((RIGHT(HEX2BIN(BE334,8)&amp;LEFT(HEX2BIN($A$1,8),1),8))),HEX2DEC(BE334)),2),IF(AND(BH334=2,BE327=0),BIN2HEX(RIGHT(HEX2BIN(BE334,8)&amp;LEFT(HEX2BIN($A$1,8),1),8)),IF(AND(BH334=2,BE327=1),DEC2HEX(_xlfn.BITXOR(BIN2DEC(RIGHT(HEX2BIN(BE334,8)&amp;LEFT(HEX2BIN($A$1,8),1),8)),HEX2DEC($B$1))),IF(AND(BH334=3,BE327=1),DEC2HEX(_xlfn.BITXOR(_xlfn.BITXOR(BIN2DEC(RIGHT(HEX2BIN(BE334,8)&amp;LEFT(HEX2BIN($A$1,8),1),8)),HEX2DEC($B$1)),HEX2DEC(BE334))),BE334)))))),HEX2DEC(IF(AND(BI334=3,BE328=0),DEC2HEX(_xlfn.BITXOR(BIN2DEC((RIGHT(HEX2BIN(BE335,8)&amp;LEFT(HEX2BIN($A$1,8),1),8))),HEX2DEC(BE335)),2),IF(AND(BI334=2,BE328=0),BIN2HEX(RIGHT(HEX2BIN(BE335,8)&amp;LEFT(HEX2BIN($A$1,8),1),8)),IF(AND(BI334=2,BE328=1),DEC2HEX(_xlfn.BITXOR(BIN2DEC(RIGHT(HEX2BIN(BE335,8)&amp;LEFT(HEX2BIN($A$1,8),1),8)),HEX2DEC($B$1))),IF(AND(BI334=3,BE328=1),DEC2HEX(_xlfn.BITXOR(_xlfn.BITXOR(BIN2DEC(RIGHT(HEX2BIN(BE335,8)&amp;LEFT(HEX2BIN($A$1,8),1),8)),HEX2DEC($B$1)),HEX2DEC(BE335))),BE335)))))),HEX2DEC(IF(AND(BJ334=3,BE329=0),DEC2HEX(_xlfn.BITXOR(BIN2DEC((RIGHT(HEX2BIN(BE336,8)&amp;LEFT(HEX2BIN($A$1,8),1),8))),HEX2DEC(BE336)),2),IF(AND(BJ334=2,BE329=0),BIN2HEX(RIGHT(HEX2BIN(BE336,8)&amp;LEFT(HEX2BIN($A$1,8),1),8)),IF(AND(BJ334=2,BE329=1),DEC2HEX(_xlfn.BITXOR(BIN2DEC(RIGHT(HEX2BIN(BE336,8)&amp;LEFT(HEX2BIN($A$1,8),1),8)),HEX2DEC($B$1))),IF(AND(BJ334=3,BE329=1),DEC2HEX(_xlfn.BITXOR(_xlfn.BITXOR(BIN2DEC(RIGHT(HEX2BIN(BE336,8)&amp;LEFT(HEX2BIN($A$1,8),1),8)),HEX2DEC($B$1)),HEX2DEC(BE336))),BE336)))))))</f>
        <v>B3</v>
      </c>
      <c r="BS334" s="44" t="s">
        <v>195</v>
      </c>
      <c r="BT334" s="44" t="s">
        <v>90</v>
      </c>
      <c r="BU334" s="44">
        <v>12</v>
      </c>
      <c r="BV334" s="44" t="s">
        <v>244</v>
      </c>
    </row>
    <row r="335" spans="2:74" x14ac:dyDescent="0.25">
      <c r="B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H335" s="14" t="str">
        <f t="shared" si="206"/>
        <v>80</v>
      </c>
      <c r="AI335" s="14" t="str">
        <f t="shared" si="207"/>
        <v>12</v>
      </c>
      <c r="AJ335" s="14" t="str">
        <f t="shared" si="208"/>
        <v>13</v>
      </c>
      <c r="AK335" s="14" t="str">
        <f t="shared" si="209"/>
        <v>BE</v>
      </c>
      <c r="AM335" s="35" t="str">
        <f t="shared" si="210"/>
        <v>BF</v>
      </c>
      <c r="AN335" s="35" t="str">
        <f t="shared" si="199"/>
        <v>77</v>
      </c>
      <c r="AO335" s="35" t="str">
        <f t="shared" si="199"/>
        <v>3D</v>
      </c>
      <c r="AP335" s="35" t="str">
        <f t="shared" si="199"/>
        <v>B2</v>
      </c>
      <c r="AR335" s="35" t="str">
        <f t="shared" si="211"/>
        <v>3F</v>
      </c>
      <c r="AS335" s="35" t="str">
        <f t="shared" si="200"/>
        <v>65</v>
      </c>
      <c r="AT335" s="35" t="str">
        <f t="shared" si="201"/>
        <v>2E</v>
      </c>
      <c r="AU335" s="35" t="str">
        <f t="shared" si="202"/>
        <v>C</v>
      </c>
      <c r="AW335" s="1">
        <v>75</v>
      </c>
      <c r="AX335" s="1" t="s">
        <v>80</v>
      </c>
      <c r="AY335" s="1">
        <v>31</v>
      </c>
      <c r="AZ335" s="1" t="s">
        <v>271</v>
      </c>
      <c r="BB335" s="40">
        <f>AY335</f>
        <v>31</v>
      </c>
      <c r="BC335" s="40" t="str">
        <f>AZ335</f>
        <v>FE</v>
      </c>
      <c r="BD335" s="40">
        <f>AW335</f>
        <v>75</v>
      </c>
      <c r="BE335" s="29" t="str">
        <f>AX335</f>
        <v>4D</v>
      </c>
      <c r="BF335" s="40"/>
      <c r="BG335" s="34">
        <v>1</v>
      </c>
      <c r="BH335" s="34">
        <v>1</v>
      </c>
      <c r="BI335" s="34">
        <v>2</v>
      </c>
      <c r="BJ335" s="34">
        <v>3</v>
      </c>
      <c r="BK335" s="35"/>
      <c r="BL335" s="44" t="str">
        <f>DEC2HEX(_xlfn.BITXOR(_xlfn.BITXOR(_xlfn.BITXOR(HEX2DEC(IF(AND(BG335=3,BB326=0),DEC2HEX(_xlfn.BITXOR(BIN2DEC((RIGHT(HEX2BIN(BB333,8)&amp;LEFT(HEX2BIN($A$1,8),1),8))),HEX2DEC(BB333)),2),IF(AND(BG335=2,BB326=0),BIN2HEX(RIGHT(HEX2BIN(BB333,8)&amp;LEFT(HEX2BIN($A$1,8),1),8)),IF(AND(BG335=2,BB326=1),DEC2HEX(_xlfn.BITXOR(BIN2DEC(RIGHT(HEX2BIN(BB333,8)&amp;LEFT(HEX2BIN($A$1,8),1),8)),HEX2DEC($B$1))),IF(AND(BG335=3,BB326=1),DEC2HEX(_xlfn.BITXOR(_xlfn.BITXOR(BIN2DEC(RIGHT(HEX2BIN(BB333,8)&amp;LEFT(HEX2BIN($A$1,8),1),8)),HEX2DEC($B$1)),HEX2DEC(BB333))),BB333))))),HEX2DEC(IF(AND(BH335=3,BB327=0),DEC2HEX(_xlfn.BITXOR(BIN2DEC((RIGHT(HEX2BIN(BB334,8)&amp;LEFT(HEX2BIN($A$1,8),1),8))),HEX2DEC(BB334)),2),IF(AND(BH335=2,BB327=0),BIN2HEX(RIGHT(HEX2BIN(BB334,8)&amp;LEFT(HEX2BIN($A$1,8),1),8)),IF(AND(BH335=2,BB327=1),DEC2HEX(_xlfn.BITXOR(BIN2DEC(RIGHT(HEX2BIN(BB334,8)&amp;LEFT(HEX2BIN($A$1,8),1),8)),HEX2DEC($B$1))),IF(AND(BH335=3,BB327=1),DEC2HEX(_xlfn.BITXOR(_xlfn.BITXOR(BIN2DEC(RIGHT(HEX2BIN(BB334,8)&amp;LEFT(HEX2BIN($A$1,8),1),8)),HEX2DEC($B$1)),HEX2DEC(BB334))),BB334)))))),HEX2DEC(IF(AND(BI335=3,BB328=0),DEC2HEX(_xlfn.BITXOR(BIN2DEC((RIGHT(HEX2BIN(BB335,8)&amp;LEFT(HEX2BIN($A$1,8),1),8))),HEX2DEC(BB335)),2),IF(AND(BI335=2,BB328=0),BIN2HEX(RIGHT(HEX2BIN(BB335,8)&amp;LEFT(HEX2BIN($A$1,8),1),8)),IF(AND(BI335=2,BB328=1),DEC2HEX(_xlfn.BITXOR(BIN2DEC(RIGHT(HEX2BIN(BB335,8)&amp;LEFT(HEX2BIN($A$1,8),1),8)),HEX2DEC($B$1))),IF(AND(BI335=3,BB328=1),DEC2HEX(_xlfn.BITXOR(_xlfn.BITXOR(BIN2DEC(RIGHT(HEX2BIN(BB335,8)&amp;LEFT(HEX2BIN($A$1,8),1),8)),HEX2DEC($B$1)),HEX2DEC(BB335))),BB335)))))),HEX2DEC(IF(AND(BJ335=3,BB329=0),DEC2HEX(_xlfn.BITXOR(BIN2DEC((RIGHT(HEX2BIN(BB336,8)&amp;LEFT(HEX2BIN($A$1,8),1),8))),HEX2DEC(BB336)),2),IF(AND(BJ335=2,BB329=0),BIN2HEX(RIGHT(HEX2BIN(BB336,8)&amp;LEFT(HEX2BIN($A$1,8),1),8)),IF(AND(BJ335=2,BB329=1),DEC2HEX(_xlfn.BITXOR(BIN2DEC(RIGHT(HEX2BIN(BB336,8)&amp;LEFT(HEX2BIN($A$1,8),1),8)),HEX2DEC($B$1))),IF(AND(BJ335=3,BB329=1),DEC2HEX(_xlfn.BITXOR(_xlfn.BITXOR(BIN2DEC(RIGHT(HEX2BIN(BB336,8)&amp;LEFT(HEX2BIN($A$1,8),1),8)),HEX2DEC($B$1)),HEX2DEC(BB336))),BB336)))))))</f>
        <v>83</v>
      </c>
      <c r="BM335" s="44" t="str">
        <f>DEC2HEX(_xlfn.BITXOR(_xlfn.BITXOR(_xlfn.BITXOR(HEX2DEC(IF(AND(BG335=3,BC326=0),DEC2HEX(_xlfn.BITXOR(BIN2DEC((RIGHT(HEX2BIN(BC333,8)&amp;LEFT(HEX2BIN($A$1,8),1),8))),HEX2DEC(BC333)),2),IF(AND(BG335=2,BC326=0),BIN2HEX(RIGHT(HEX2BIN(BC333,8)&amp;LEFT(HEX2BIN($A$1,8),1),8)),IF(AND(BG335=2,BC326=1),DEC2HEX(_xlfn.BITXOR(BIN2DEC(RIGHT(HEX2BIN(BC333,8)&amp;LEFT(HEX2BIN($A$1,8),1),8)),HEX2DEC($B$1))),IF(AND(BG335=3,BC326=1),DEC2HEX(_xlfn.BITXOR(_xlfn.BITXOR(BIN2DEC(RIGHT(HEX2BIN(BC333,8)&amp;LEFT(HEX2BIN($A$1,8),1),8)),HEX2DEC($B$1)),HEX2DEC(BC333))),BC333))))),HEX2DEC(IF(AND(BH335=3,BC327=0),DEC2HEX(_xlfn.BITXOR(BIN2DEC((RIGHT(HEX2BIN(BC334,8)&amp;LEFT(HEX2BIN($A$1,8),1),8))),HEX2DEC(BC334)),2),IF(AND(BH335=2,BC327=0),BIN2HEX(RIGHT(HEX2BIN(BC334,8)&amp;LEFT(HEX2BIN($A$1,8),1),8)),IF(AND(BH335=2,BC327=1),DEC2HEX(_xlfn.BITXOR(BIN2DEC(RIGHT(HEX2BIN(BC334,8)&amp;LEFT(HEX2BIN($A$1,8),1),8)),HEX2DEC($B$1))),IF(AND(BH335=3,BC327=1),DEC2HEX(_xlfn.BITXOR(_xlfn.BITXOR(BIN2DEC(RIGHT(HEX2BIN(BC334,8)&amp;LEFT(HEX2BIN($A$1,8),1),8)),HEX2DEC($B$1)),HEX2DEC(BC334))),BC334)))))),HEX2DEC(IF(AND(BI335=3,BC328=0),DEC2HEX(_xlfn.BITXOR(BIN2DEC((RIGHT(HEX2BIN(BC335,8)&amp;LEFT(HEX2BIN($A$1,8),1),8))),HEX2DEC(BC335)),2),IF(AND(BI335=2,BC328=0),BIN2HEX(RIGHT(HEX2BIN(BC335,8)&amp;LEFT(HEX2BIN($A$1,8),1),8)),IF(AND(BI335=2,BC328=1),DEC2HEX(_xlfn.BITXOR(BIN2DEC(RIGHT(HEX2BIN(BC335,8)&amp;LEFT(HEX2BIN($A$1,8),1),8)),HEX2DEC($B$1))),IF(AND(BI335=3,BC328=1),DEC2HEX(_xlfn.BITXOR(_xlfn.BITXOR(BIN2DEC(RIGHT(HEX2BIN(BC335,8)&amp;LEFT(HEX2BIN($A$1,8),1),8)),HEX2DEC($B$1)),HEX2DEC(BC335))),BC335)))))),HEX2DEC(IF(AND(BJ335=3,BC329=0),DEC2HEX(_xlfn.BITXOR(BIN2DEC((RIGHT(HEX2BIN(BC336,8)&amp;LEFT(HEX2BIN($A$1,8),1),8))),HEX2DEC(BC336)),2),IF(AND(BJ335=2,BC329=0),BIN2HEX(RIGHT(HEX2BIN(BC336,8)&amp;LEFT(HEX2BIN($A$1,8),1),8)),IF(AND(BJ335=2,BC329=1),DEC2HEX(_xlfn.BITXOR(BIN2DEC(RIGHT(HEX2BIN(BC336,8)&amp;LEFT(HEX2BIN($A$1,8),1),8)),HEX2DEC($B$1))),IF(AND(BJ335=3,BC329=1),DEC2HEX(_xlfn.BITXOR(_xlfn.BITXOR(BIN2DEC(RIGHT(HEX2BIN(BC336,8)&amp;LEFT(HEX2BIN($A$1,8),1),8)),HEX2DEC($B$1)),HEX2DEC(BC336))),BC336)))))))</f>
        <v>BF</v>
      </c>
      <c r="BN335" s="44" t="str">
        <f>DEC2HEX(_xlfn.BITXOR(_xlfn.BITXOR(_xlfn.BITXOR(HEX2DEC(IF(AND(BG335=3,BD326=0),DEC2HEX(_xlfn.BITXOR(BIN2DEC((RIGHT(HEX2BIN(BD333,8)&amp;LEFT(HEX2BIN($A$1,8),1),8))),HEX2DEC(BD333)),2),IF(AND(BG335=2,BD326=0),BIN2HEX(RIGHT(HEX2BIN(BD333,8)&amp;LEFT(HEX2BIN($A$1,8),1),8)),IF(AND(BG335=2,BD326=1),DEC2HEX(_xlfn.BITXOR(BIN2DEC(RIGHT(HEX2BIN(BD333,8)&amp;LEFT(HEX2BIN($A$1,8),1),8)),HEX2DEC($B$1))),IF(AND(BG335=3,BD326=1),DEC2HEX(_xlfn.BITXOR(_xlfn.BITXOR(BIN2DEC(RIGHT(HEX2BIN(BD333,8)&amp;LEFT(HEX2BIN($A$1,8),1),8)),HEX2DEC($B$1)),HEX2DEC(BD333))),BD333))))),HEX2DEC(IF(AND(BH335=3,BD327=0),DEC2HEX(_xlfn.BITXOR(BIN2DEC((RIGHT(HEX2BIN(BD334,8)&amp;LEFT(HEX2BIN($A$1,8),1),8))),HEX2DEC(BD334)),2),IF(AND(BH335=2,BD327=0),BIN2HEX(RIGHT(HEX2BIN(BD334,8)&amp;LEFT(HEX2BIN($A$1,8),1),8)),IF(AND(BH335=2,BD327=1),DEC2HEX(_xlfn.BITXOR(BIN2DEC(RIGHT(HEX2BIN(BD334,8)&amp;LEFT(HEX2BIN($A$1,8),1),8)),HEX2DEC($B$1))),IF(AND(BH335=3,BD327=1),DEC2HEX(_xlfn.BITXOR(_xlfn.BITXOR(BIN2DEC(RIGHT(HEX2BIN(BD334,8)&amp;LEFT(HEX2BIN($A$1,8),1),8)),HEX2DEC($B$1)),HEX2DEC(BD334))),BD334)))))),HEX2DEC(IF(AND(BI335=3,BD328=0),DEC2HEX(_xlfn.BITXOR(BIN2DEC((RIGHT(HEX2BIN(BD335,8)&amp;LEFT(HEX2BIN($A$1,8),1),8))),HEX2DEC(BD335)),2),IF(AND(BI335=2,BD328=0),BIN2HEX(RIGHT(HEX2BIN(BD335,8)&amp;LEFT(HEX2BIN($A$1,8),1),8)),IF(AND(BI335=2,BD328=1),DEC2HEX(_xlfn.BITXOR(BIN2DEC(RIGHT(HEX2BIN(BD335,8)&amp;LEFT(HEX2BIN($A$1,8),1),8)),HEX2DEC($B$1))),IF(AND(BI335=3,BD328=1),DEC2HEX(_xlfn.BITXOR(_xlfn.BITXOR(BIN2DEC(RIGHT(HEX2BIN(BD335,8)&amp;LEFT(HEX2BIN($A$1,8),1),8)),HEX2DEC($B$1)),HEX2DEC(BD335))),BD335)))))),HEX2DEC(IF(AND(BJ335=3,BD329=0),DEC2HEX(_xlfn.BITXOR(BIN2DEC((RIGHT(HEX2BIN(BD336,8)&amp;LEFT(HEX2BIN($A$1,8),1),8))),HEX2DEC(BD336)),2),IF(AND(BJ335=2,BD329=0),BIN2HEX(RIGHT(HEX2BIN(BD336,8)&amp;LEFT(HEX2BIN($A$1,8),1),8)),IF(AND(BJ335=2,BD329=1),DEC2HEX(_xlfn.BITXOR(BIN2DEC(RIGHT(HEX2BIN(BD336,8)&amp;LEFT(HEX2BIN($A$1,8),1),8)),HEX2DEC($B$1))),IF(AND(BJ335=3,BD329=1),DEC2HEX(_xlfn.BITXOR(_xlfn.BITXOR(BIN2DEC(RIGHT(HEX2BIN(BD336,8)&amp;LEFT(HEX2BIN($A$1,8),1),8)),HEX2DEC($B$1)),HEX2DEC(BD336))),BD336)))))))</f>
        <v>AD</v>
      </c>
      <c r="BO335" s="44" t="str">
        <f>DEC2HEX(_xlfn.BITXOR(_xlfn.BITXOR(_xlfn.BITXOR(HEX2DEC(IF(AND(BG335=3,BE326=0),DEC2HEX(_xlfn.BITXOR(BIN2DEC((RIGHT(HEX2BIN(BE333,8)&amp;LEFT(HEX2BIN($A$1,8),1),8))),HEX2DEC(BE333)),2),IF(AND(BG335=2,BE326=0),BIN2HEX(RIGHT(HEX2BIN(BE333,8)&amp;LEFT(HEX2BIN($A$1,8),1),8)),IF(AND(BG335=2,BE326=1),DEC2HEX(_xlfn.BITXOR(BIN2DEC(RIGHT(HEX2BIN(BE333,8)&amp;LEFT(HEX2BIN($A$1,8),1),8)),HEX2DEC($B$1))),IF(AND(BG335=3,BE326=1),DEC2HEX(_xlfn.BITXOR(_xlfn.BITXOR(BIN2DEC(RIGHT(HEX2BIN(BE333,8)&amp;LEFT(HEX2BIN($A$1,8),1),8)),HEX2DEC($B$1)),HEX2DEC(BE333))),BE333))))),HEX2DEC(IF(AND(BH335=3,BE327=0),DEC2HEX(_xlfn.BITXOR(BIN2DEC((RIGHT(HEX2BIN(BE334,8)&amp;LEFT(HEX2BIN($A$1,8),1),8))),HEX2DEC(BE334)),2),IF(AND(BH335=2,BE327=0),BIN2HEX(RIGHT(HEX2BIN(BE334,8)&amp;LEFT(HEX2BIN($A$1,8),1),8)),IF(AND(BH335=2,BE327=1),DEC2HEX(_xlfn.BITXOR(BIN2DEC(RIGHT(HEX2BIN(BE334,8)&amp;LEFT(HEX2BIN($A$1,8),1),8)),HEX2DEC($B$1))),IF(AND(BH335=3,BE327=1),DEC2HEX(_xlfn.BITXOR(_xlfn.BITXOR(BIN2DEC(RIGHT(HEX2BIN(BE334,8)&amp;LEFT(HEX2BIN($A$1,8),1),8)),HEX2DEC($B$1)),HEX2DEC(BE334))),BE334)))))),HEX2DEC(IF(AND(BI335=3,BE328=0),DEC2HEX(_xlfn.BITXOR(BIN2DEC((RIGHT(HEX2BIN(BE335,8)&amp;LEFT(HEX2BIN($A$1,8),1),8))),HEX2DEC(BE335)),2),IF(AND(BI335=2,BE328=0),BIN2HEX(RIGHT(HEX2BIN(BE335,8)&amp;LEFT(HEX2BIN($A$1,8),1),8)),IF(AND(BI335=2,BE328=1),DEC2HEX(_xlfn.BITXOR(BIN2DEC(RIGHT(HEX2BIN(BE335,8)&amp;LEFT(HEX2BIN($A$1,8),1),8)),HEX2DEC($B$1))),IF(AND(BI335=3,BE328=1),DEC2HEX(_xlfn.BITXOR(_xlfn.BITXOR(BIN2DEC(RIGHT(HEX2BIN(BE335,8)&amp;LEFT(HEX2BIN($A$1,8),1),8)),HEX2DEC($B$1)),HEX2DEC(BE335))),BE335)))))),HEX2DEC(IF(AND(BJ335=3,BE329=0),DEC2HEX(_xlfn.BITXOR(BIN2DEC((RIGHT(HEX2BIN(BE336,8)&amp;LEFT(HEX2BIN($A$1,8),1),8))),HEX2DEC(BE336)),2),IF(AND(BJ335=2,BE329=0),BIN2HEX(RIGHT(HEX2BIN(BE336,8)&amp;LEFT(HEX2BIN($A$1,8),1),8)),IF(AND(BJ335=2,BE329=1),DEC2HEX(_xlfn.BITXOR(BIN2DEC(RIGHT(HEX2BIN(BE336,8)&amp;LEFT(HEX2BIN($A$1,8),1),8)),HEX2DEC($B$1))),IF(AND(BJ335=3,BE329=1),DEC2HEX(_xlfn.BITXOR(_xlfn.BITXOR(BIN2DEC(RIGHT(HEX2BIN(BE336,8)&amp;LEFT(HEX2BIN($A$1,8),1),8)),HEX2DEC($B$1)),HEX2DEC(BE336))),BE336)))))))</f>
        <v>EB</v>
      </c>
      <c r="BS335" s="44" t="s">
        <v>77</v>
      </c>
      <c r="BT335" s="44">
        <v>80</v>
      </c>
      <c r="BU335" s="44" t="s">
        <v>77</v>
      </c>
      <c r="BV335" s="44">
        <v>20</v>
      </c>
    </row>
    <row r="336" spans="2:74" x14ac:dyDescent="0.25">
      <c r="B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H336" s="14" t="str">
        <f t="shared" si="206"/>
        <v>32</v>
      </c>
      <c r="AI336" s="14" t="str">
        <f t="shared" si="207"/>
        <v>80</v>
      </c>
      <c r="AJ336" s="14" t="str">
        <f t="shared" si="208"/>
        <v>F9</v>
      </c>
      <c r="AK336" s="14" t="str">
        <f t="shared" si="209"/>
        <v>A0</v>
      </c>
      <c r="AM336" s="35" t="str">
        <f t="shared" si="210"/>
        <v>83</v>
      </c>
      <c r="AN336" s="35" t="str">
        <f t="shared" si="199"/>
        <v>E0</v>
      </c>
      <c r="AO336" s="35" t="str">
        <f t="shared" si="199"/>
        <v>75</v>
      </c>
      <c r="AP336" s="35" t="str">
        <f t="shared" si="199"/>
        <v>C9</v>
      </c>
      <c r="AR336" s="35" t="str">
        <f t="shared" si="211"/>
        <v>B1</v>
      </c>
      <c r="AS336" s="35" t="str">
        <f t="shared" si="200"/>
        <v>60</v>
      </c>
      <c r="AT336" s="35" t="str">
        <f t="shared" si="201"/>
        <v>8C</v>
      </c>
      <c r="AU336" s="35" t="str">
        <f t="shared" si="202"/>
        <v>69</v>
      </c>
      <c r="AW336" s="1" t="s">
        <v>67</v>
      </c>
      <c r="AX336" s="1" t="s">
        <v>148</v>
      </c>
      <c r="AY336" s="1">
        <v>64</v>
      </c>
      <c r="AZ336" s="1" t="s">
        <v>71</v>
      </c>
      <c r="BB336" s="40" t="str">
        <f>AZ336</f>
        <v>F9</v>
      </c>
      <c r="BC336" s="40" t="str">
        <f>AW336</f>
        <v>C8</v>
      </c>
      <c r="BD336" s="40" t="str">
        <f t="shared" ref="BD336" si="214">AX336</f>
        <v>D0</v>
      </c>
      <c r="BE336" s="30">
        <f t="shared" ref="BE336" si="215">AY336</f>
        <v>64</v>
      </c>
      <c r="BF336" s="40"/>
      <c r="BG336" s="31">
        <v>3</v>
      </c>
      <c r="BH336" s="32">
        <v>1</v>
      </c>
      <c r="BI336" s="32">
        <v>1</v>
      </c>
      <c r="BJ336" s="33">
        <v>2</v>
      </c>
      <c r="BK336" s="35"/>
      <c r="BL336" s="44" t="str">
        <f>DEC2HEX(_xlfn.BITXOR(_xlfn.BITXOR(_xlfn.BITXOR(HEX2DEC(IF(AND(BG336=3,BB326=0),DEC2HEX(_xlfn.BITXOR(BIN2DEC((RIGHT(HEX2BIN(BB333,8)&amp;LEFT(HEX2BIN($A$1,8),1),8))),HEX2DEC(BB333)),2),IF(AND(BG336=2,BB326=0),BIN2HEX(RIGHT(HEX2BIN(BB333,8)&amp;LEFT(HEX2BIN($A$1,8),1),8)),IF(AND(BG336=2,BB326=1),DEC2HEX(_xlfn.BITXOR(BIN2DEC(RIGHT(HEX2BIN(BB333,8)&amp;LEFT(HEX2BIN($A$1,8),1),8)),HEX2DEC($B$1))),IF(AND(BG336=3,BB326=1),DEC2HEX(_xlfn.BITXOR(_xlfn.BITXOR(BIN2DEC(RIGHT(HEX2BIN(BB333,8)&amp;LEFT(HEX2BIN($A$1,8),1),8)),HEX2DEC($B$1)),HEX2DEC(BB333))),BB333))))),HEX2DEC(IF(AND(BH336=3,BB327=0),DEC2HEX(_xlfn.BITXOR(BIN2DEC((RIGHT(HEX2BIN(BB334,8)&amp;LEFT(HEX2BIN($A$1,8),1),8))),HEX2DEC(BB334)),2),IF(AND(BH336=2,BB327=0),BIN2HEX(RIGHT(HEX2BIN(BB334,8)&amp;LEFT(HEX2BIN($A$1,8),1),8)),IF(AND(BH336=2,BB327=1),DEC2HEX(_xlfn.BITXOR(BIN2DEC(RIGHT(HEX2BIN(BB334,8)&amp;LEFT(HEX2BIN($A$1,8),1),8)),HEX2DEC($B$1))),IF(AND(BH336=3,BB327=1),DEC2HEX(_xlfn.BITXOR(_xlfn.BITXOR(BIN2DEC(RIGHT(HEX2BIN(BB334,8)&amp;LEFT(HEX2BIN($A$1,8),1),8)),HEX2DEC($B$1)),HEX2DEC(BB334))),BB334)))))),HEX2DEC(IF(AND(BI336=3,BB328=0),DEC2HEX(_xlfn.BITXOR(BIN2DEC((RIGHT(HEX2BIN(BB335,8)&amp;LEFT(HEX2BIN($A$1,8),1),8))),HEX2DEC(BB335)),2),IF(AND(BI336=2,BB328=0),BIN2HEX(RIGHT(HEX2BIN(BB335,8)&amp;LEFT(HEX2BIN($A$1,8),1),8)),IF(AND(BI336=2,BB328=1),DEC2HEX(_xlfn.BITXOR(BIN2DEC(RIGHT(HEX2BIN(BB335,8)&amp;LEFT(HEX2BIN($A$1,8),1),8)),HEX2DEC($B$1))),IF(AND(BI336=3,BB328=1),DEC2HEX(_xlfn.BITXOR(_xlfn.BITXOR(BIN2DEC(RIGHT(HEX2BIN(BB335,8)&amp;LEFT(HEX2BIN($A$1,8),1),8)),HEX2DEC($B$1)),HEX2DEC(BB335))),BB335)))))),HEX2DEC(IF(AND(BJ336=3,BB329=0),DEC2HEX(_xlfn.BITXOR(BIN2DEC((RIGHT(HEX2BIN(BB336,8)&amp;LEFT(HEX2BIN($A$1,8),1),8))),HEX2DEC(BB336)),2),IF(AND(BJ336=2,BB329=0),BIN2HEX(RIGHT(HEX2BIN(BB336,8)&amp;LEFT(HEX2BIN($A$1,8),1),8)),IF(AND(BJ336=2,BB329=1),DEC2HEX(_xlfn.BITXOR(BIN2DEC(RIGHT(HEX2BIN(BB336,8)&amp;LEFT(HEX2BIN($A$1,8),1),8)),HEX2DEC($B$1))),IF(AND(BJ336=3,BB329=1),DEC2HEX(_xlfn.BITXOR(_xlfn.BITXOR(BIN2DEC(RIGHT(HEX2BIN(BB336,8)&amp;LEFT(HEX2BIN($A$1,8),1),8)),HEX2DEC($B$1)),HEX2DEC(BB336))),BB336)))))))</f>
        <v>46</v>
      </c>
      <c r="BM336" s="44" t="str">
        <f>DEC2HEX(_xlfn.BITXOR(_xlfn.BITXOR(_xlfn.BITXOR(HEX2DEC(IF(AND(BG336=3,BC326=0),DEC2HEX(_xlfn.BITXOR(BIN2DEC((RIGHT(HEX2BIN(BC333,8)&amp;LEFT(HEX2BIN($A$1,8),1),8))),HEX2DEC(BC333)),2),IF(AND(BG336=2,BC326=0),BIN2HEX(RIGHT(HEX2BIN(BC333,8)&amp;LEFT(HEX2BIN($A$1,8),1),8)),IF(AND(BG336=2,BC326=1),DEC2HEX(_xlfn.BITXOR(BIN2DEC(RIGHT(HEX2BIN(BC333,8)&amp;LEFT(HEX2BIN($A$1,8),1),8)),HEX2DEC($B$1))),IF(AND(BG336=3,BC326=1),DEC2HEX(_xlfn.BITXOR(_xlfn.BITXOR(BIN2DEC(RIGHT(HEX2BIN(BC333,8)&amp;LEFT(HEX2BIN($A$1,8),1),8)),HEX2DEC($B$1)),HEX2DEC(BC333))),BC333))))),HEX2DEC(IF(AND(BH336=3,BC327=0),DEC2HEX(_xlfn.BITXOR(BIN2DEC((RIGHT(HEX2BIN(BC334,8)&amp;LEFT(HEX2BIN($A$1,8),1),8))),HEX2DEC(BC334)),2),IF(AND(BH336=2,BC327=0),BIN2HEX(RIGHT(HEX2BIN(BC334,8)&amp;LEFT(HEX2BIN($A$1,8),1),8)),IF(AND(BH336=2,BC327=1),DEC2HEX(_xlfn.BITXOR(BIN2DEC(RIGHT(HEX2BIN(BC334,8)&amp;LEFT(HEX2BIN($A$1,8),1),8)),HEX2DEC($B$1))),IF(AND(BH336=3,BC327=1),DEC2HEX(_xlfn.BITXOR(_xlfn.BITXOR(BIN2DEC(RIGHT(HEX2BIN(BC334,8)&amp;LEFT(HEX2BIN($A$1,8),1),8)),HEX2DEC($B$1)),HEX2DEC(BC334))),BC334)))))),HEX2DEC(IF(AND(BI336=3,BC328=0),DEC2HEX(_xlfn.BITXOR(BIN2DEC((RIGHT(HEX2BIN(BC335,8)&amp;LEFT(HEX2BIN($A$1,8),1),8))),HEX2DEC(BC335)),2),IF(AND(BI336=2,BC328=0),BIN2HEX(RIGHT(HEX2BIN(BC335,8)&amp;LEFT(HEX2BIN($A$1,8),1),8)),IF(AND(BI336=2,BC328=1),DEC2HEX(_xlfn.BITXOR(BIN2DEC(RIGHT(HEX2BIN(BC335,8)&amp;LEFT(HEX2BIN($A$1,8),1),8)),HEX2DEC($B$1))),IF(AND(BI336=3,BC328=1),DEC2HEX(_xlfn.BITXOR(_xlfn.BITXOR(BIN2DEC(RIGHT(HEX2BIN(BC335,8)&amp;LEFT(HEX2BIN($A$1,8),1),8)),HEX2DEC($B$1)),HEX2DEC(BC335))),BC335)))))),HEX2DEC(IF(AND(BJ336=3,BC329=0),DEC2HEX(_xlfn.BITXOR(BIN2DEC((RIGHT(HEX2BIN(BC336,8)&amp;LEFT(HEX2BIN($A$1,8),1),8))),HEX2DEC(BC336)),2),IF(AND(BJ336=2,BC329=0),BIN2HEX(RIGHT(HEX2BIN(BC336,8)&amp;LEFT(HEX2BIN($A$1,8),1),8)),IF(AND(BJ336=2,BC329=1),DEC2HEX(_xlfn.BITXOR(BIN2DEC(RIGHT(HEX2BIN(BC336,8)&amp;LEFT(HEX2BIN($A$1,8),1),8)),HEX2DEC($B$1))),IF(AND(BJ336=3,BC329=1),DEC2HEX(_xlfn.BITXOR(_xlfn.BITXOR(BIN2DEC(RIGHT(HEX2BIN(BC336,8)&amp;LEFT(HEX2BIN($A$1,8),1),8)),HEX2DEC($B$1)),HEX2DEC(BC336))),BC336)))))))</f>
        <v>B1</v>
      </c>
      <c r="BN336" s="44" t="str">
        <f>DEC2HEX(_xlfn.BITXOR(_xlfn.BITXOR(_xlfn.BITXOR(HEX2DEC(IF(AND(BG336=3,BD326=0),DEC2HEX(_xlfn.BITXOR(BIN2DEC((RIGHT(HEX2BIN(BD333,8)&amp;LEFT(HEX2BIN($A$1,8),1),8))),HEX2DEC(BD333)),2),IF(AND(BG336=2,BD326=0),BIN2HEX(RIGHT(HEX2BIN(BD333,8)&amp;LEFT(HEX2BIN($A$1,8),1),8)),IF(AND(BG336=2,BD326=1),DEC2HEX(_xlfn.BITXOR(BIN2DEC(RIGHT(HEX2BIN(BD333,8)&amp;LEFT(HEX2BIN($A$1,8),1),8)),HEX2DEC($B$1))),IF(AND(BG336=3,BD326=1),DEC2HEX(_xlfn.BITXOR(_xlfn.BITXOR(BIN2DEC(RIGHT(HEX2BIN(BD333,8)&amp;LEFT(HEX2BIN($A$1,8),1),8)),HEX2DEC($B$1)),HEX2DEC(BD333))),BD333))))),HEX2DEC(IF(AND(BH336=3,BD327=0),DEC2HEX(_xlfn.BITXOR(BIN2DEC((RIGHT(HEX2BIN(BD334,8)&amp;LEFT(HEX2BIN($A$1,8),1),8))),HEX2DEC(BD334)),2),IF(AND(BH336=2,BD327=0),BIN2HEX(RIGHT(HEX2BIN(BD334,8)&amp;LEFT(HEX2BIN($A$1,8),1),8)),IF(AND(BH336=2,BD327=1),DEC2HEX(_xlfn.BITXOR(BIN2DEC(RIGHT(HEX2BIN(BD334,8)&amp;LEFT(HEX2BIN($A$1,8),1),8)),HEX2DEC($B$1))),IF(AND(BH336=3,BD327=1),DEC2HEX(_xlfn.BITXOR(_xlfn.BITXOR(BIN2DEC(RIGHT(HEX2BIN(BD334,8)&amp;LEFT(HEX2BIN($A$1,8),1),8)),HEX2DEC($B$1)),HEX2DEC(BD334))),BD334)))))),HEX2DEC(IF(AND(BI336=3,BD328=0),DEC2HEX(_xlfn.BITXOR(BIN2DEC((RIGHT(HEX2BIN(BD335,8)&amp;LEFT(HEX2BIN($A$1,8),1),8))),HEX2DEC(BD335)),2),IF(AND(BI336=2,BD328=0),BIN2HEX(RIGHT(HEX2BIN(BD335,8)&amp;LEFT(HEX2BIN($A$1,8),1),8)),IF(AND(BI336=2,BD328=1),DEC2HEX(_xlfn.BITXOR(BIN2DEC(RIGHT(HEX2BIN(BD335,8)&amp;LEFT(HEX2BIN($A$1,8),1),8)),HEX2DEC($B$1))),IF(AND(BI336=3,BD328=1),DEC2HEX(_xlfn.BITXOR(_xlfn.BITXOR(BIN2DEC(RIGHT(HEX2BIN(BD335,8)&amp;LEFT(HEX2BIN($A$1,8),1),8)),HEX2DEC($B$1)),HEX2DEC(BD335))),BD335)))))),HEX2DEC(IF(AND(BJ336=3,BD329=0),DEC2HEX(_xlfn.BITXOR(BIN2DEC((RIGHT(HEX2BIN(BD336,8)&amp;LEFT(HEX2BIN($A$1,8),1),8))),HEX2DEC(BD336)),2),IF(AND(BJ336=2,BD329=0),BIN2HEX(RIGHT(HEX2BIN(BD336,8)&amp;LEFT(HEX2BIN($A$1,8),1),8)),IF(AND(BJ336=2,BD329=1),DEC2HEX(_xlfn.BITXOR(BIN2DEC(RIGHT(HEX2BIN(BD336,8)&amp;LEFT(HEX2BIN($A$1,8),1),8)),HEX2DEC($B$1))),IF(AND(BJ336=3,BD329=1),DEC2HEX(_xlfn.BITXOR(_xlfn.BITXOR(BIN2DEC(RIGHT(HEX2BIN(BD336,8)&amp;LEFT(HEX2BIN($A$1,8),1),8)),HEX2DEC($B$1)),HEX2DEC(BD336))),BD336)))))))</f>
        <v>84</v>
      </c>
      <c r="BO336" s="44" t="str">
        <f>DEC2HEX(_xlfn.BITXOR(_xlfn.BITXOR(_xlfn.BITXOR(HEX2DEC(IF(AND(BG336=3,BE326=0),DEC2HEX(_xlfn.BITXOR(BIN2DEC((RIGHT(HEX2BIN(BE333,8)&amp;LEFT(HEX2BIN($A$1,8),1),8))),HEX2DEC(BE333)),2),IF(AND(BG336=2,BE326=0),BIN2HEX(RIGHT(HEX2BIN(BE333,8)&amp;LEFT(HEX2BIN($A$1,8),1),8)),IF(AND(BG336=2,BE326=1),DEC2HEX(_xlfn.BITXOR(BIN2DEC(RIGHT(HEX2BIN(BE333,8)&amp;LEFT(HEX2BIN($A$1,8),1),8)),HEX2DEC($B$1))),IF(AND(BG336=3,BE326=1),DEC2HEX(_xlfn.BITXOR(_xlfn.BITXOR(BIN2DEC(RIGHT(HEX2BIN(BE333,8)&amp;LEFT(HEX2BIN($A$1,8),1),8)),HEX2DEC($B$1)),HEX2DEC(BE333))),BE333))))),HEX2DEC(IF(AND(BH336=3,BE327=0),DEC2HEX(_xlfn.BITXOR(BIN2DEC((RIGHT(HEX2BIN(BE334,8)&amp;LEFT(HEX2BIN($A$1,8),1),8))),HEX2DEC(BE334)),2),IF(AND(BH336=2,BE327=0),BIN2HEX(RIGHT(HEX2BIN(BE334,8)&amp;LEFT(HEX2BIN($A$1,8),1),8)),IF(AND(BH336=2,BE327=1),DEC2HEX(_xlfn.BITXOR(BIN2DEC(RIGHT(HEX2BIN(BE334,8)&amp;LEFT(HEX2BIN($A$1,8),1),8)),HEX2DEC($B$1))),IF(AND(BH336=3,BE327=1),DEC2HEX(_xlfn.BITXOR(_xlfn.BITXOR(BIN2DEC(RIGHT(HEX2BIN(BE334,8)&amp;LEFT(HEX2BIN($A$1,8),1),8)),HEX2DEC($B$1)),HEX2DEC(BE334))),BE334)))))),HEX2DEC(IF(AND(BI336=3,BE328=0),DEC2HEX(_xlfn.BITXOR(BIN2DEC((RIGHT(HEX2BIN(BE335,8)&amp;LEFT(HEX2BIN($A$1,8),1),8))),HEX2DEC(BE335)),2),IF(AND(BI336=2,BE328=0),BIN2HEX(RIGHT(HEX2BIN(BE335,8)&amp;LEFT(HEX2BIN($A$1,8),1),8)),IF(AND(BI336=2,BE328=1),DEC2HEX(_xlfn.BITXOR(BIN2DEC(RIGHT(HEX2BIN(BE335,8)&amp;LEFT(HEX2BIN($A$1,8),1),8)),HEX2DEC($B$1))),IF(AND(BI336=3,BE328=1),DEC2HEX(_xlfn.BITXOR(_xlfn.BITXOR(BIN2DEC(RIGHT(HEX2BIN(BE335,8)&amp;LEFT(HEX2BIN($A$1,8),1),8)),HEX2DEC($B$1)),HEX2DEC(BE335))),BE335)))))),HEX2DEC(IF(AND(BJ336=3,BE329=0),DEC2HEX(_xlfn.BITXOR(BIN2DEC((RIGHT(HEX2BIN(BE336,8)&amp;LEFT(HEX2BIN($A$1,8),1),8))),HEX2DEC(BE336)),2),IF(AND(BJ336=2,BE329=0),BIN2HEX(RIGHT(HEX2BIN(BE336,8)&amp;LEFT(HEX2BIN($A$1,8),1),8)),IF(AND(BJ336=2,BE329=1),DEC2HEX(_xlfn.BITXOR(BIN2DEC(RIGHT(HEX2BIN(BE336,8)&amp;LEFT(HEX2BIN($A$1,8),1),8)),HEX2DEC($B$1))),IF(AND(BJ336=3,BE329=1),DEC2HEX(_xlfn.BITXOR(_xlfn.BITXOR(BIN2DEC(RIGHT(HEX2BIN(BE336,8)&amp;LEFT(HEX2BIN($A$1,8),1),8)),HEX2DEC($B$1)),HEX2DEC(BE336))),BE336)))))))</f>
        <v>6F</v>
      </c>
      <c r="BS336" s="44">
        <v>79</v>
      </c>
      <c r="BT336" s="44" t="s">
        <v>93</v>
      </c>
      <c r="BU336" s="44">
        <v>90</v>
      </c>
      <c r="BV336" s="44">
        <v>82</v>
      </c>
    </row>
    <row r="337" spans="2:31" x14ac:dyDescent="0.25">
      <c r="B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</row>
    <row r="338" spans="2:31" x14ac:dyDescent="0.25">
      <c r="B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</row>
    <row r="339" spans="2:31" x14ac:dyDescent="0.25">
      <c r="B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</row>
    <row r="340" spans="2:31" x14ac:dyDescent="0.25">
      <c r="B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</row>
    <row r="341" spans="2:31" x14ac:dyDescent="0.25">
      <c r="B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</row>
    <row r="342" spans="2:31" x14ac:dyDescent="0.25">
      <c r="B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</row>
    <row r="343" spans="2:31" x14ac:dyDescent="0.25">
      <c r="B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</row>
    <row r="344" spans="2:31" x14ac:dyDescent="0.25">
      <c r="B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</row>
    <row r="345" spans="2:31" x14ac:dyDescent="0.25">
      <c r="B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</row>
    <row r="346" spans="2:31" x14ac:dyDescent="0.25">
      <c r="B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</row>
    <row r="347" spans="2:31" x14ac:dyDescent="0.25">
      <c r="B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</row>
    <row r="348" spans="2:31" x14ac:dyDescent="0.25">
      <c r="B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</row>
    <row r="349" spans="2:31" x14ac:dyDescent="0.25">
      <c r="B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</row>
    <row r="350" spans="2:31" x14ac:dyDescent="0.25">
      <c r="B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</row>
    <row r="351" spans="2:31" x14ac:dyDescent="0.25">
      <c r="B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</row>
    <row r="352" spans="2:31" x14ac:dyDescent="0.25">
      <c r="B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</row>
    <row r="353" spans="2:67" x14ac:dyDescent="0.25">
      <c r="B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</row>
    <row r="354" spans="2:67" x14ac:dyDescent="0.25">
      <c r="B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</row>
    <row r="355" spans="2:67" x14ac:dyDescent="0.25">
      <c r="B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</row>
    <row r="356" spans="2:67" x14ac:dyDescent="0.25">
      <c r="B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</row>
    <row r="357" spans="2:67" x14ac:dyDescent="0.25">
      <c r="B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</row>
    <row r="358" spans="2:67" x14ac:dyDescent="0.25">
      <c r="B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</row>
    <row r="359" spans="2:67" x14ac:dyDescent="0.25">
      <c r="B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</row>
    <row r="360" spans="2:67" x14ac:dyDescent="0.25">
      <c r="B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</row>
    <row r="361" spans="2:67" x14ac:dyDescent="0.25">
      <c r="B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</row>
    <row r="362" spans="2:67" x14ac:dyDescent="0.25">
      <c r="B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</row>
    <row r="363" spans="2:67" x14ac:dyDescent="0.25">
      <c r="B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</row>
    <row r="364" spans="2:67" x14ac:dyDescent="0.25">
      <c r="B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BG364" s="35"/>
      <c r="BH364" s="35"/>
      <c r="BI364" s="35"/>
      <c r="BJ364" t="s">
        <v>179</v>
      </c>
      <c r="BK364"/>
      <c r="BL364" t="s">
        <v>181</v>
      </c>
      <c r="BM364" t="s">
        <v>182</v>
      </c>
      <c r="BN364" t="s">
        <v>180</v>
      </c>
      <c r="BO364" s="35"/>
    </row>
    <row r="365" spans="2:67" x14ac:dyDescent="0.25">
      <c r="B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BG365" s="35"/>
      <c r="BH365" s="35"/>
      <c r="BI365" s="35"/>
      <c r="BJ365" t="str">
        <f>BIN2HEX(RIGHT(HEX2BIN(BA383,8)&amp;LEFT(HEX2BIN($A$1,8),1),8))</f>
        <v>0</v>
      </c>
      <c r="BK365"/>
      <c r="BL365" t="str">
        <f>DEC2HEX(_xlfn.BITXOR(BIN2DEC(RIGHT(HEX2BIN(BC390,8)&amp;LEFT(HEX2BIN($A$1,8),1),8)),HEX2DEC($B$1)))</f>
        <v>1B</v>
      </c>
      <c r="BM365" t="str">
        <f>DEC2HEX(_xlfn.BITXOR(_xlfn.BITXOR(BIN2DEC(RIGHT(HEX2BIN(BC372,8)&amp;LEFT(HEX2BIN($A$1,8),1),8)),HEX2DEC($B$1)),HEX2DEC(BC372)))</f>
        <v>1B</v>
      </c>
      <c r="BN365" t="str">
        <f>DEC2HEX(_xlfn.BITXOR(BIN2DEC((RIGHT(HEX2BIN(BA384,8)&amp;LEFT(HEX2BIN($A$1,8),1),8))),HEX2DEC(BA384)),2)</f>
        <v>00</v>
      </c>
      <c r="BO365" s="35"/>
    </row>
    <row r="366" spans="2:67" x14ac:dyDescent="0.25">
      <c r="B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BG366" s="35"/>
      <c r="BH366" s="35"/>
      <c r="BI366" s="35"/>
      <c r="BJ366" s="35"/>
      <c r="BK366" s="35"/>
      <c r="BL366" s="35"/>
      <c r="BM366" s="35"/>
      <c r="BN366" s="35"/>
      <c r="BO366" s="35"/>
    </row>
    <row r="367" spans="2:67" x14ac:dyDescent="0.25">
      <c r="B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BG367" s="35"/>
      <c r="BH367" s="35"/>
      <c r="BI367" s="35"/>
      <c r="BJ367" s="35"/>
      <c r="BK367" s="35"/>
      <c r="BL367" s="35"/>
      <c r="BM367" s="35"/>
      <c r="BN367" s="35"/>
      <c r="BO367" s="35"/>
    </row>
    <row r="368" spans="2:67" x14ac:dyDescent="0.25">
      <c r="B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BB368" s="75">
        <f>IF(BIN2DEC(LEFT(HEX2BIN(BB375,8),1))=0,0,1)</f>
        <v>0</v>
      </c>
      <c r="BC368" s="75">
        <f>IF(BIN2DEC(LEFT(HEX2BIN(BC375,8),1))=0,0,1)</f>
        <v>1</v>
      </c>
      <c r="BD368" s="75">
        <f>IF(BIN2DEC(LEFT(HEX2BIN(BD375,8),1))=0,0,1)</f>
        <v>0</v>
      </c>
      <c r="BE368" s="75">
        <f>IF(BIN2DEC(LEFT(HEX2BIN(BE375,8),1))=0,0,1)</f>
        <v>1</v>
      </c>
      <c r="BF368" s="43"/>
      <c r="BG368" s="43"/>
      <c r="BH368" s="43"/>
      <c r="BI368" s="43"/>
      <c r="BJ368" s="43"/>
      <c r="BK368" s="35"/>
      <c r="BL368" s="35" t="s">
        <v>215</v>
      </c>
      <c r="BM368" s="35"/>
      <c r="BN368" s="35"/>
      <c r="BO368" s="35"/>
    </row>
    <row r="369" spans="2:74" x14ac:dyDescent="0.25">
      <c r="B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BB369" s="75">
        <f t="shared" ref="BB369:BE369" si="216">IF(BIN2DEC(LEFT(HEX2BIN(BB376,8),1))=0,0,1)</f>
        <v>0</v>
      </c>
      <c r="BC369" s="75">
        <f t="shared" si="216"/>
        <v>0</v>
      </c>
      <c r="BD369" s="75">
        <f t="shared" si="216"/>
        <v>0</v>
      </c>
      <c r="BE369" s="75">
        <f t="shared" si="216"/>
        <v>0</v>
      </c>
      <c r="BF369" s="43"/>
      <c r="BG369" s="43"/>
      <c r="BH369" s="43"/>
      <c r="BI369" s="43"/>
      <c r="BJ369" s="43"/>
      <c r="BK369" s="35"/>
      <c r="BL369" s="35" t="str">
        <f>DEC2HEX(_xlfn.BITXOR(_xlfn.BITXOR(_xlfn.BITXOR(HEX2DEC(BK372),HEX2DEC(BL372)),HEX2DEC(BM372)),HEX2DEC(BN372)))</f>
        <v>83</v>
      </c>
      <c r="BM369" s="35"/>
      <c r="BN369" s="35"/>
      <c r="BO369" s="35"/>
    </row>
    <row r="370" spans="2:74" x14ac:dyDescent="0.25">
      <c r="B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BB370" s="75">
        <f t="shared" ref="BB370:BE370" si="217">IF(BIN2DEC(LEFT(HEX2BIN(BB377,8),1))=0,0,1)</f>
        <v>1</v>
      </c>
      <c r="BC370" s="75">
        <f t="shared" si="217"/>
        <v>1</v>
      </c>
      <c r="BD370" s="75">
        <f t="shared" si="217"/>
        <v>1</v>
      </c>
      <c r="BE370" s="75">
        <f t="shared" si="217"/>
        <v>0</v>
      </c>
      <c r="BF370" s="43"/>
      <c r="BG370" s="43"/>
      <c r="BH370" s="43"/>
      <c r="BI370" s="43"/>
      <c r="BJ370" s="43"/>
      <c r="BK370" s="35"/>
      <c r="BL370" s="35"/>
      <c r="BM370" s="35"/>
      <c r="BN370" s="35"/>
      <c r="BO370" s="35"/>
    </row>
    <row r="371" spans="2:74" x14ac:dyDescent="0.25">
      <c r="B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BB371" s="75">
        <f t="shared" ref="BB371:BE371" si="218">IF(BIN2DEC(LEFT(HEX2BIN(BB378,8),1))=0,0,1)</f>
        <v>1</v>
      </c>
      <c r="BC371" s="75">
        <f t="shared" si="218"/>
        <v>1</v>
      </c>
      <c r="BD371" s="75">
        <f t="shared" si="218"/>
        <v>0</v>
      </c>
      <c r="BE371" s="75">
        <f t="shared" si="218"/>
        <v>0</v>
      </c>
      <c r="BF371" s="43"/>
      <c r="BG371" s="43"/>
      <c r="BH371" s="43"/>
      <c r="BI371" s="43"/>
      <c r="BJ371" s="43"/>
      <c r="BK371" s="35"/>
      <c r="BL371" s="35"/>
      <c r="BM371" s="35"/>
      <c r="BN371" s="35"/>
      <c r="BO371" s="35"/>
    </row>
    <row r="372" spans="2:74" ht="15.75" x14ac:dyDescent="0.25">
      <c r="B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H372" s="76" t="s">
        <v>281</v>
      </c>
      <c r="AW372" s="116" t="s">
        <v>235</v>
      </c>
      <c r="AX372" s="116"/>
      <c r="AY372" s="116"/>
      <c r="AZ372" s="116"/>
      <c r="BB372" s="43"/>
      <c r="BC372" s="43"/>
      <c r="BD372" s="43"/>
      <c r="BE372" s="43"/>
      <c r="BF372" s="43"/>
      <c r="BG372" s="43"/>
      <c r="BH372" s="43"/>
      <c r="BI372" s="43"/>
      <c r="BJ372" s="43"/>
      <c r="BK372" t="str">
        <f>DEC2HEX(_xlfn.BITXOR(_xlfn.BITXOR(BIN2DEC(RIGHT(HEX2BIN(BE375,8)&amp;LEFT(HEX2BIN($A$1,8),1),8)),HEX2DEC($B$1)),HEX2DEC(BE375)))</f>
        <v>EF</v>
      </c>
      <c r="BL372" t="str">
        <f>BE376</f>
        <v>4F</v>
      </c>
      <c r="BM372" t="str">
        <f>BE377</f>
        <v>3C</v>
      </c>
      <c r="BN372" t="str">
        <f>DEC2HEX(_xlfn.BITXOR(BIN2DEC(RIGHT(HEX2BIN(BE378,8)&amp;LEFT(HEX2BIN($A$1,8),1),8)),HEX2DEC($B$1)))</f>
        <v>1F</v>
      </c>
      <c r="BO372" s="35"/>
    </row>
    <row r="373" spans="2:74" x14ac:dyDescent="0.25">
      <c r="B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BB373" s="43"/>
      <c r="BC373" s="43"/>
      <c r="BD373" s="43"/>
      <c r="BE373" s="43"/>
      <c r="BF373" s="43"/>
      <c r="BG373" s="43"/>
      <c r="BH373" s="43"/>
      <c r="BI373" s="43"/>
      <c r="BJ373" s="43"/>
      <c r="BK373" s="35"/>
      <c r="BL373" s="35"/>
      <c r="BM373" s="35"/>
      <c r="BN373" s="35"/>
      <c r="BO373" s="35"/>
    </row>
    <row r="374" spans="2:74" x14ac:dyDescent="0.25">
      <c r="B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H374" s="116" t="s">
        <v>253</v>
      </c>
      <c r="AI374" s="116"/>
      <c r="AJ374" s="116"/>
      <c r="AK374" s="116"/>
      <c r="AR374" s="116" t="s">
        <v>221</v>
      </c>
      <c r="AS374" s="116"/>
      <c r="AT374" s="116"/>
      <c r="AU374" s="116"/>
      <c r="AW374" s="116" t="s">
        <v>222</v>
      </c>
      <c r="AX374" s="116"/>
      <c r="AY374" s="116"/>
      <c r="AZ374" s="116"/>
      <c r="BB374" s="118" t="s">
        <v>227</v>
      </c>
      <c r="BC374" s="118"/>
      <c r="BD374" s="118"/>
      <c r="BE374" s="118"/>
      <c r="BF374" s="43"/>
      <c r="BG374" s="43"/>
      <c r="BH374" s="43"/>
      <c r="BI374" s="43"/>
      <c r="BJ374" s="43"/>
      <c r="BK374" s="35"/>
      <c r="BL374" s="116" t="s">
        <v>230</v>
      </c>
      <c r="BM374" s="116"/>
      <c r="BN374" s="116"/>
      <c r="BO374" s="116"/>
    </row>
    <row r="375" spans="2:74" x14ac:dyDescent="0.25">
      <c r="B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H375" s="14" t="str">
        <f>V21</f>
        <v>5F</v>
      </c>
      <c r="AI375" s="14" t="str">
        <f>Y21</f>
        <v>98</v>
      </c>
      <c r="AJ375" s="14" t="str">
        <f>AB21</f>
        <v>6D</v>
      </c>
      <c r="AK375" s="14" t="str">
        <f>AE21</f>
        <v>69</v>
      </c>
      <c r="AM375" s="1" t="str">
        <f>BL333</f>
        <v>7A</v>
      </c>
      <c r="AN375" s="35" t="str">
        <f t="shared" ref="AN375:AP378" si="219">BM333</f>
        <v>F9</v>
      </c>
      <c r="AO375" s="35" t="str">
        <f t="shared" si="219"/>
        <v>E2</v>
      </c>
      <c r="AP375" s="35" t="str">
        <f t="shared" si="219"/>
        <v>C3</v>
      </c>
      <c r="AR375" s="35" t="str">
        <f>DEC2HEX(_xlfn.BITXOR(HEX2DEC(AH375),HEX2DEC(AM375)))</f>
        <v>25</v>
      </c>
      <c r="AS375" s="35" t="str">
        <f t="shared" ref="AS375:AS378" si="220">DEC2HEX(_xlfn.BITXOR(HEX2DEC(AI375),HEX2DEC(AN375)))</f>
        <v>61</v>
      </c>
      <c r="AT375" s="35" t="str">
        <f t="shared" ref="AT375:AT378" si="221">DEC2HEX(_xlfn.BITXOR(HEX2DEC(AJ375),HEX2DEC(AO375)))</f>
        <v>8F</v>
      </c>
      <c r="AU375" s="35" t="str">
        <f t="shared" ref="AU375:AU378" si="222">DEC2HEX(_xlfn.BITXOR(HEX2DEC(AK375),HEX2DEC(AP375)))</f>
        <v>AA</v>
      </c>
      <c r="AW375" s="1" t="s">
        <v>73</v>
      </c>
      <c r="AX375" s="1" t="s">
        <v>142</v>
      </c>
      <c r="AY375" s="1">
        <v>73</v>
      </c>
      <c r="AZ375" s="1" t="s">
        <v>287</v>
      </c>
      <c r="BB375" s="43" t="str">
        <f>AW375</f>
        <v>3F</v>
      </c>
      <c r="BC375" s="43" t="str">
        <f t="shared" ref="BC375" si="223">AX375</f>
        <v>EF</v>
      </c>
      <c r="BD375" s="43">
        <f t="shared" ref="BD375" si="224">AY375</f>
        <v>73</v>
      </c>
      <c r="BE375" s="28" t="str">
        <f t="shared" ref="BE375" si="225">AZ375</f>
        <v>AC</v>
      </c>
      <c r="BF375" s="43"/>
      <c r="BG375" s="34">
        <v>2</v>
      </c>
      <c r="BH375" s="34">
        <v>3</v>
      </c>
      <c r="BI375" s="34">
        <v>1</v>
      </c>
      <c r="BJ375" s="34">
        <v>1</v>
      </c>
      <c r="BK375" s="35"/>
      <c r="BL375" s="44" t="str">
        <f>DEC2HEX(_xlfn.BITXOR(_xlfn.BITXOR(_xlfn.BITXOR(HEX2DEC(IF(AND(BG375=3,BB368=0),DEC2HEX(_xlfn.BITXOR(BIN2DEC((RIGHT(HEX2BIN(BB375,8)&amp;LEFT(HEX2BIN($A$1,8),1),8))),HEX2DEC(BB375)),2),IF(AND(BG375=2,BB368=0),BIN2HEX(RIGHT(HEX2BIN(BB375,8)&amp;LEFT(HEX2BIN($A$1,8),1),8)),IF(AND(BG375=2,BB368=1),DEC2HEX(_xlfn.BITXOR(BIN2DEC(RIGHT(HEX2BIN(BB375,8)&amp;LEFT(HEX2BIN($A$1,8),1),8)),HEX2DEC($B$1))),IF(AND(BG375=3,BB368=1),DEC2HEX(_xlfn.BITXOR(_xlfn.BITXOR(BIN2DEC(RIGHT(HEX2BIN(BB375,8)&amp;LEFT(HEX2BIN($A$1,8),1),8)),HEX2DEC($B$1)),HEX2DEC(BB375))),BB375))))),HEX2DEC(IF(AND(BH375=3,BB369=0),DEC2HEX(_xlfn.BITXOR(BIN2DEC((RIGHT(HEX2BIN(BB376,8)&amp;LEFT(HEX2BIN($A$1,8),1),8))),HEX2DEC(BB376)),2),IF(AND(BH375=2,BB369=0),BIN2HEX(RIGHT(HEX2BIN(BB376,8)&amp;LEFT(HEX2BIN($A$1,8),1),8)),IF(AND(BH375=2,BB369=1),DEC2HEX(_xlfn.BITXOR(BIN2DEC(RIGHT(HEX2BIN(BB376,8)&amp;LEFT(HEX2BIN($A$1,8),1),8)),HEX2DEC($B$1))),IF(AND(BH375=3,BB369=1),DEC2HEX(_xlfn.BITXOR(_xlfn.BITXOR(BIN2DEC(RIGHT(HEX2BIN(BB376,8)&amp;LEFT(HEX2BIN($A$1,8),1),8)),HEX2DEC($B$1)),HEX2DEC(BB376))),BB376)))))),HEX2DEC(IF(AND(BI375=3,BB370=0),DEC2HEX(_xlfn.BITXOR(BIN2DEC((RIGHT(HEX2BIN(BB377,8)&amp;LEFT(HEX2BIN($A$1,8),1),8))),HEX2DEC(BB377)),2),IF(AND(BI375=2,BB370=0),BIN2HEX(RIGHT(HEX2BIN(BB377,8)&amp;LEFT(HEX2BIN($A$1,8),1),8)),IF(AND(BI375=2,BB370=1),DEC2HEX(_xlfn.BITXOR(BIN2DEC(RIGHT(HEX2BIN(BB377,8)&amp;LEFT(HEX2BIN($A$1,8),1),8)),HEX2DEC($B$1))),IF(AND(BI375=3,BB370=1),DEC2HEX(_xlfn.BITXOR(_xlfn.BITXOR(BIN2DEC(RIGHT(HEX2BIN(BB377,8)&amp;LEFT(HEX2BIN($A$1,8),1),8)),HEX2DEC($B$1)),HEX2DEC(BB377))),BB377)))))),HEX2DEC(IF(AND(BJ375=3,BB371=0),DEC2HEX(_xlfn.BITXOR(BIN2DEC((RIGHT(HEX2BIN(BB378,8)&amp;LEFT(HEX2BIN($A$1,8),1),8))),HEX2DEC(BB378)),2),IF(AND(BJ375=2,BB371=0),BIN2HEX(RIGHT(HEX2BIN(BB378,8)&amp;LEFT(HEX2BIN($A$1,8),1),8)),IF(AND(BJ375=2,BB371=1),DEC2HEX(_xlfn.BITXOR(BIN2DEC(RIGHT(HEX2BIN(BB378,8)&amp;LEFT(HEX2BIN($A$1,8),1),8)),HEX2DEC($B$1))),IF(AND(BJ375=3,BB371=1),DEC2HEX(_xlfn.BITXOR(_xlfn.BITXOR(BIN2DEC(RIGHT(HEX2BIN(BB378,8)&amp;LEFT(HEX2BIN($A$1,8),1),8)),HEX2DEC($B$1)),HEX2DEC(BB378))),BB378)))))))</f>
        <v>A9</v>
      </c>
      <c r="BM375" s="44" t="str">
        <f>DEC2HEX(_xlfn.BITXOR(_xlfn.BITXOR(_xlfn.BITXOR(HEX2DEC(IF(AND(BG375=3,BC368=0),DEC2HEX(_xlfn.BITXOR(BIN2DEC((RIGHT(HEX2BIN(BC375,8)&amp;LEFT(HEX2BIN($A$1,8),1),8))),HEX2DEC(BC375)),2),IF(AND(BG375=2,BC368=0),BIN2HEX(RIGHT(HEX2BIN(BC375,8)&amp;LEFT(HEX2BIN($A$1,8),1),8)),IF(AND(BG375=2,BC368=1),DEC2HEX(_xlfn.BITXOR(BIN2DEC(RIGHT(HEX2BIN(BC375,8)&amp;LEFT(HEX2BIN($A$1,8),1),8)),HEX2DEC($B$1))),IF(AND(BG375=3,BC368=1),DEC2HEX(_xlfn.BITXOR(_xlfn.BITXOR(BIN2DEC(RIGHT(HEX2BIN(BC375,8)&amp;LEFT(HEX2BIN($A$1,8),1),8)),HEX2DEC($B$1)),HEX2DEC(BC375))),BC375))))),HEX2DEC(IF(AND(BH375=3,BC369=0),DEC2HEX(_xlfn.BITXOR(BIN2DEC((RIGHT(HEX2BIN(BC376,8)&amp;LEFT(HEX2BIN($A$1,8),1),8))),HEX2DEC(BC376)),2),IF(AND(BH375=2,BC369=0),BIN2HEX(RIGHT(HEX2BIN(BC376,8)&amp;LEFT(HEX2BIN($A$1,8),1),8)),IF(AND(BH375=2,BC369=1),DEC2HEX(_xlfn.BITXOR(BIN2DEC(RIGHT(HEX2BIN(BC376,8)&amp;LEFT(HEX2BIN($A$1,8),1),8)),HEX2DEC($B$1))),IF(AND(BH375=3,BC369=1),DEC2HEX(_xlfn.BITXOR(_xlfn.BITXOR(BIN2DEC(RIGHT(HEX2BIN(BC376,8)&amp;LEFT(HEX2BIN($A$1,8),1),8)),HEX2DEC($B$1)),HEX2DEC(BC376))),BC376)))))),HEX2DEC(IF(AND(BI375=3,BC370=0),DEC2HEX(_xlfn.BITXOR(BIN2DEC((RIGHT(HEX2BIN(BC377,8)&amp;LEFT(HEX2BIN($A$1,8),1),8))),HEX2DEC(BC377)),2),IF(AND(BI375=2,BC370=0),BIN2HEX(RIGHT(HEX2BIN(BC377,8)&amp;LEFT(HEX2BIN($A$1,8),1),8)),IF(AND(BI375=2,BC370=1),DEC2HEX(_xlfn.BITXOR(BIN2DEC(RIGHT(HEX2BIN(BC377,8)&amp;LEFT(HEX2BIN($A$1,8),1),8)),HEX2DEC($B$1))),IF(AND(BI375=3,BC370=1),DEC2HEX(_xlfn.BITXOR(_xlfn.BITXOR(BIN2DEC(RIGHT(HEX2BIN(BC377,8)&amp;LEFT(HEX2BIN($A$1,8),1),8)),HEX2DEC($B$1)),HEX2DEC(BC377))),BC377)))))),HEX2DEC(IF(AND(BJ375=3,BC371=0),DEC2HEX(_xlfn.BITXOR(BIN2DEC((RIGHT(HEX2BIN(BC378,8)&amp;LEFT(HEX2BIN($A$1,8),1),8))),HEX2DEC(BC378)),2),IF(AND(BJ375=2,BC371=0),BIN2HEX(RIGHT(HEX2BIN(BC378,8)&amp;LEFT(HEX2BIN($A$1,8),1),8)),IF(AND(BJ375=2,BC371=1),DEC2HEX(_xlfn.BITXOR(BIN2DEC(RIGHT(HEX2BIN(BC378,8)&amp;LEFT(HEX2BIN($A$1,8),1),8)),HEX2DEC($B$1))),IF(AND(BJ375=3,BC371=1),DEC2HEX(_xlfn.BITXOR(_xlfn.BITXOR(BIN2DEC(RIGHT(HEX2BIN(BC378,8)&amp;LEFT(HEX2BIN($A$1,8),1),8)),HEX2DEC($B$1)),HEX2DEC(BC378))),BC378)))))))</f>
        <v>B1</v>
      </c>
      <c r="BN375" s="41" t="str">
        <f>DEC2HEX(_xlfn.BITXOR(_xlfn.BITXOR(_xlfn.BITXOR(HEX2DEC(IF(AND(BG375=3,BD368=0),DEC2HEX(_xlfn.BITXOR(BIN2DEC((RIGHT(HEX2BIN(BD375,8)&amp;LEFT(HEX2BIN($A$1,8),1),8))),HEX2DEC(BD375)),2),IF(AND(BG375=2,BD368=0),BIN2HEX(RIGHT(HEX2BIN(BD375,8)&amp;LEFT(HEX2BIN($A$1,8),1),8)),IF(AND(BG375=2,BD368=1),DEC2HEX(_xlfn.BITXOR(BIN2DEC(RIGHT(HEX2BIN(BD375,8)&amp;LEFT(HEX2BIN($A$1,8),1),8)),HEX2DEC($B$1))),IF(AND(BG375=3,BD368=1),DEC2HEX(_xlfn.BITXOR(_xlfn.BITXOR(BIN2DEC(RIGHT(HEX2BIN(BD375,8)&amp;LEFT(HEX2BIN($A$1,8),1),8)),HEX2DEC($B$1)),HEX2DEC(BD375))),BD375))))),HEX2DEC(IF(AND(BH375=3,BD369=0),DEC2HEX(_xlfn.BITXOR(BIN2DEC((RIGHT(HEX2BIN(BD376,8)&amp;LEFT(HEX2BIN($A$1,8),1),8))),HEX2DEC(BD376)),2),IF(AND(BH375=2,BD369=0),BIN2HEX(RIGHT(HEX2BIN(BD376,8)&amp;LEFT(HEX2BIN($A$1,8),1),8)),IF(AND(BH375=2,BD369=1),DEC2HEX(_xlfn.BITXOR(BIN2DEC(RIGHT(HEX2BIN(BD376,8)&amp;LEFT(HEX2BIN($A$1,8),1),8)),HEX2DEC($B$1))),IF(AND(BH375=3,BD369=1),DEC2HEX(_xlfn.BITXOR(_xlfn.BITXOR(BIN2DEC(RIGHT(HEX2BIN(BD376,8)&amp;LEFT(HEX2BIN($A$1,8),1),8)),HEX2DEC($B$1)),HEX2DEC(BD376))),BD376)))))),HEX2DEC(IF(AND(BI375=3,BD370=0),DEC2HEX(_xlfn.BITXOR(BIN2DEC((RIGHT(HEX2BIN(BD377,8)&amp;LEFT(HEX2BIN($A$1,8),1),8))),HEX2DEC(BD377)),2),IF(AND(BI375=2,BD370=0),BIN2HEX(RIGHT(HEX2BIN(BD377,8)&amp;LEFT(HEX2BIN($A$1,8),1),8)),IF(AND(BI375=2,BD370=1),DEC2HEX(_xlfn.BITXOR(BIN2DEC(RIGHT(HEX2BIN(BD377,8)&amp;LEFT(HEX2BIN($A$1,8),1),8)),HEX2DEC($B$1))),IF(AND(BI375=3,BD370=1),DEC2HEX(_xlfn.BITXOR(_xlfn.BITXOR(BIN2DEC(RIGHT(HEX2BIN(BD377,8)&amp;LEFT(HEX2BIN($A$1,8),1),8)),HEX2DEC($B$1)),HEX2DEC(BD377))),BD377)))))),HEX2DEC(IF(AND(BJ375=3,BD371=0),DEC2HEX(_xlfn.BITXOR(BIN2DEC((RIGHT(HEX2BIN(BD378,8)&amp;LEFT(HEX2BIN($A$1,8),1),8))),HEX2DEC(BD378)),2),IF(AND(BJ375=2,BD371=0),BIN2HEX(RIGHT(HEX2BIN(BD378,8)&amp;LEFT(HEX2BIN($A$1,8),1),8)),IF(AND(BJ375=2,BD371=1),DEC2HEX(_xlfn.BITXOR(BIN2DEC(RIGHT(HEX2BIN(BD378,8)&amp;LEFT(HEX2BIN($A$1,8),1),8)),HEX2DEC($B$1))),IF(AND(BJ375=3,BD371=1),DEC2HEX(_xlfn.BITXOR(_xlfn.BITXOR(BIN2DEC(RIGHT(HEX2BIN(BD378,8)&amp;LEFT(HEX2BIN($A$1,8),1),8)),HEX2DEC($B$1)),HEX2DEC(BD378))),BD378)))))))</f>
        <v>C0</v>
      </c>
      <c r="BO375" s="44" t="str">
        <f>DEC2HEX(_xlfn.BITXOR(_xlfn.BITXOR(_xlfn.BITXOR(HEX2DEC(IF(AND(BG375=3,BE368=0),DEC2HEX(_xlfn.BITXOR(BIN2DEC((RIGHT(HEX2BIN(BE375,8)&amp;LEFT(HEX2BIN($A$1,8),1),8))),HEX2DEC(BE375)),2),IF(AND(BG375=2,BE368=0),BIN2HEX(RIGHT(HEX2BIN(BE375,8)&amp;LEFT(HEX2BIN($A$1,8),1),8)),IF(AND(BG375=2,BE368=1),DEC2HEX(_xlfn.BITXOR(BIN2DEC(RIGHT(HEX2BIN(BE375,8)&amp;LEFT(HEX2BIN($A$1,8),1),8)),HEX2DEC($B$1))),IF(AND(BG375=3,BE368=1),DEC2HEX(_xlfn.BITXOR(_xlfn.BITXOR(BIN2DEC(RIGHT(HEX2BIN(BE375,8)&amp;LEFT(HEX2BIN($A$1,8),1),8)),HEX2DEC($B$1)),HEX2DEC(BE375))),BE375))))),HEX2DEC(IF(AND(BH375=3,BE369=0),DEC2HEX(_xlfn.BITXOR(BIN2DEC((RIGHT(HEX2BIN(BE376,8)&amp;LEFT(HEX2BIN($A$1,8),1),8))),HEX2DEC(BE376)),2),IF(AND(BH375=2,BE369=0),BIN2HEX(RIGHT(HEX2BIN(BE376,8)&amp;LEFT(HEX2BIN($A$1,8),1),8)),IF(AND(BH375=2,BE369=1),DEC2HEX(_xlfn.BITXOR(BIN2DEC(RIGHT(HEX2BIN(BE376,8)&amp;LEFT(HEX2BIN($A$1,8),1),8)),HEX2DEC($B$1))),IF(AND(BH375=3,BE369=1),DEC2HEX(_xlfn.BITXOR(_xlfn.BITXOR(BIN2DEC(RIGHT(HEX2BIN(BE376,8)&amp;LEFT(HEX2BIN($A$1,8),1),8)),HEX2DEC($B$1)),HEX2DEC(BE376))),BE376)))))),HEX2DEC(IF(AND(BI375=3,BE370=0),DEC2HEX(_xlfn.BITXOR(BIN2DEC((RIGHT(HEX2BIN(BE377,8)&amp;LEFT(HEX2BIN($A$1,8),1),8))),HEX2DEC(BE377)),2),IF(AND(BI375=2,BE370=0),BIN2HEX(RIGHT(HEX2BIN(BE377,8)&amp;LEFT(HEX2BIN($A$1,8),1),8)),IF(AND(BI375=2,BE370=1),DEC2HEX(_xlfn.BITXOR(BIN2DEC(RIGHT(HEX2BIN(BE377,8)&amp;LEFT(HEX2BIN($A$1,8),1),8)),HEX2DEC($B$1))),IF(AND(BI375=3,BE370=1),DEC2HEX(_xlfn.BITXOR(_xlfn.BITXOR(BIN2DEC(RIGHT(HEX2BIN(BE377,8)&amp;LEFT(HEX2BIN($A$1,8),1),8)),HEX2DEC($B$1)),HEX2DEC(BE377))),BE377)))))),HEX2DEC(IF(AND(BJ375=3,BE371=0),DEC2HEX(_xlfn.BITXOR(BIN2DEC((RIGHT(HEX2BIN(BE378,8)&amp;LEFT(HEX2BIN($A$1,8),1),8))),HEX2DEC(BE378)),2),IF(AND(BJ375=2,BE371=0),BIN2HEX(RIGHT(HEX2BIN(BE378,8)&amp;LEFT(HEX2BIN($A$1,8),1),8)),IF(AND(BJ375=2,BE371=1),DEC2HEX(_xlfn.BITXOR(BIN2DEC(RIGHT(HEX2BIN(BE378,8)&amp;LEFT(HEX2BIN($A$1,8),1),8)),HEX2DEC($B$1))),IF(AND(BJ375=3,BE371=1),DEC2HEX(_xlfn.BITXOR(_xlfn.BITXOR(BIN2DEC(RIGHT(HEX2BIN(BE378,8)&amp;LEFT(HEX2BIN($A$1,8),1),8)),HEX2DEC($B$1)),HEX2DEC(BE378))),BE378)))))))</f>
        <v>AC</v>
      </c>
      <c r="BS375" s="1" t="s">
        <v>148</v>
      </c>
      <c r="BT375" s="1" t="s">
        <v>161</v>
      </c>
      <c r="BU375" s="1" t="s">
        <v>112</v>
      </c>
      <c r="BV375" s="1">
        <v>47</v>
      </c>
    </row>
    <row r="376" spans="2:74" x14ac:dyDescent="0.25">
      <c r="B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H376" s="14" t="str">
        <f t="shared" ref="AH376:AH378" si="226">V22</f>
        <v>14</v>
      </c>
      <c r="AI376" s="14" t="str">
        <f t="shared" ref="AI376:AI378" si="227">Y22</f>
        <v>75</v>
      </c>
      <c r="AJ376" s="14" t="str">
        <f t="shared" ref="AJ376:AJ378" si="228">AB22</f>
        <v>0</v>
      </c>
      <c r="AK376" s="14" t="str">
        <f t="shared" ref="AK376:AK378" si="229">AE22</f>
        <v>B1</v>
      </c>
      <c r="AM376" s="35" t="str">
        <f t="shared" ref="AM376:AM378" si="230">BL334</f>
        <v>86</v>
      </c>
      <c r="AN376" s="35" t="str">
        <f t="shared" si="219"/>
        <v>DA</v>
      </c>
      <c r="AO376" s="35" t="str">
        <f t="shared" si="219"/>
        <v>42</v>
      </c>
      <c r="AP376" s="35" t="str">
        <f t="shared" si="219"/>
        <v>B3</v>
      </c>
      <c r="AR376" s="35" t="str">
        <f t="shared" ref="AR376:AR378" si="231">DEC2HEX(_xlfn.BITXOR(HEX2DEC(AH376),HEX2DEC(AM376)))</f>
        <v>92</v>
      </c>
      <c r="AS376" s="35" t="str">
        <f t="shared" si="220"/>
        <v>AF</v>
      </c>
      <c r="AT376" s="35" t="str">
        <f t="shared" si="221"/>
        <v>42</v>
      </c>
      <c r="AU376" s="35" t="str">
        <f t="shared" si="222"/>
        <v>2</v>
      </c>
      <c r="AW376" s="1" t="s">
        <v>87</v>
      </c>
      <c r="AX376" s="1">
        <v>79</v>
      </c>
      <c r="AY376" s="1" t="s">
        <v>205</v>
      </c>
      <c r="AZ376" s="1">
        <v>77</v>
      </c>
      <c r="BB376" s="43">
        <f>AX376</f>
        <v>79</v>
      </c>
      <c r="BC376" s="43" t="str">
        <f t="shared" ref="BC376" si="232">AY376</f>
        <v>2C</v>
      </c>
      <c r="BD376" s="43">
        <f t="shared" ref="BD376" si="233">AZ376</f>
        <v>77</v>
      </c>
      <c r="BE376" s="29" t="str">
        <f>AW376</f>
        <v>4F</v>
      </c>
      <c r="BF376" s="43"/>
      <c r="BG376" s="34">
        <v>1</v>
      </c>
      <c r="BH376" s="34">
        <v>2</v>
      </c>
      <c r="BI376" s="34">
        <v>3</v>
      </c>
      <c r="BJ376" s="34">
        <v>1</v>
      </c>
      <c r="BK376" s="35"/>
      <c r="BL376" s="44" t="str">
        <f>DEC2HEX(_xlfn.BITXOR(_xlfn.BITXOR(_xlfn.BITXOR(HEX2DEC(IF(AND(BG376=3,BB368=0),DEC2HEX(_xlfn.BITXOR(BIN2DEC((RIGHT(HEX2BIN(BB375,8)&amp;LEFT(HEX2BIN($A$1,8),1),8))),HEX2DEC(BB375)),2),IF(AND(BG376=2,BB368=0),BIN2HEX(RIGHT(HEX2BIN(BB375,8)&amp;LEFT(HEX2BIN($A$1,8),1),8)),IF(AND(BG376=2,BB368=1),DEC2HEX(_xlfn.BITXOR(BIN2DEC(RIGHT(HEX2BIN(BB375,8)&amp;LEFT(HEX2BIN($A$1,8),1),8)),HEX2DEC($B$1))),IF(AND(BG376=3,BB368=1),DEC2HEX(_xlfn.BITXOR(_xlfn.BITXOR(BIN2DEC(RIGHT(HEX2BIN(BB375,8)&amp;LEFT(HEX2BIN($A$1,8),1),8)),HEX2DEC($B$1)),HEX2DEC(BB375))),BB375))))),HEX2DEC(IF(AND(BH376=3,BB369=0),DEC2HEX(_xlfn.BITXOR(BIN2DEC((RIGHT(HEX2BIN(BB376,8)&amp;LEFT(HEX2BIN($A$1,8),1),8))),HEX2DEC(BB376)),2),IF(AND(BH376=2,BB369=0),BIN2HEX(RIGHT(HEX2BIN(BB376,8)&amp;LEFT(HEX2BIN($A$1,8),1),8)),IF(AND(BH376=2,BB369=1),DEC2HEX(_xlfn.BITXOR(BIN2DEC(RIGHT(HEX2BIN(BB376,8)&amp;LEFT(HEX2BIN($A$1,8),1),8)),HEX2DEC($B$1))),IF(AND(BH376=3,BB369=1),DEC2HEX(_xlfn.BITXOR(_xlfn.BITXOR(BIN2DEC(RIGHT(HEX2BIN(BB376,8)&amp;LEFT(HEX2BIN($A$1,8),1),8)),HEX2DEC($B$1)),HEX2DEC(BB376))),BB376)))))),HEX2DEC(IF(AND(BI376=3,BB370=0),DEC2HEX(_xlfn.BITXOR(BIN2DEC((RIGHT(HEX2BIN(BB377,8)&amp;LEFT(HEX2BIN($A$1,8),1),8))),HEX2DEC(BB377)),2),IF(AND(BI376=2,BB370=0),BIN2HEX(RIGHT(HEX2BIN(BB377,8)&amp;LEFT(HEX2BIN($A$1,8),1),8)),IF(AND(BI376=2,BB370=1),DEC2HEX(_xlfn.BITXOR(BIN2DEC(RIGHT(HEX2BIN(BB377,8)&amp;LEFT(HEX2BIN($A$1,8),1),8)),HEX2DEC($B$1))),IF(AND(BI376=3,BB370=1),DEC2HEX(_xlfn.BITXOR(_xlfn.BITXOR(BIN2DEC(RIGHT(HEX2BIN(BB377,8)&amp;LEFT(HEX2BIN($A$1,8),1),8)),HEX2DEC($B$1)),HEX2DEC(BB377))),BB377)))))),HEX2DEC(IF(AND(BJ376=3,BB371=0),DEC2HEX(_xlfn.BITXOR(BIN2DEC((RIGHT(HEX2BIN(BB378,8)&amp;LEFT(HEX2BIN($A$1,8),1),8))),HEX2DEC(BB378)),2),IF(AND(BJ376=2,BB371=0),BIN2HEX(RIGHT(HEX2BIN(BB378,8)&amp;LEFT(HEX2BIN($A$1,8),1),8)),IF(AND(BJ376=2,BB371=1),DEC2HEX(_xlfn.BITXOR(BIN2DEC(RIGHT(HEX2BIN(BB378,8)&amp;LEFT(HEX2BIN($A$1,8),1),8)),HEX2DEC($B$1))),IF(AND(BJ376=3,BB371=1),DEC2HEX(_xlfn.BITXOR(_xlfn.BITXOR(BIN2DEC(RIGHT(HEX2BIN(BB378,8)&amp;LEFT(HEX2BIN($A$1,8),1),8)),HEX2DEC($B$1)),HEX2DEC(BB378))),BB378)))))))</f>
        <v>1A</v>
      </c>
      <c r="BM376" s="44" t="str">
        <f>DEC2HEX(_xlfn.BITXOR(_xlfn.BITXOR(_xlfn.BITXOR(HEX2DEC(IF(AND(BG376=3,BC368=0),DEC2HEX(_xlfn.BITXOR(BIN2DEC((RIGHT(HEX2BIN(BC375,8)&amp;LEFT(HEX2BIN($A$1,8),1),8))),HEX2DEC(BC375)),2),IF(AND(BG376=2,BC368=0),BIN2HEX(RIGHT(HEX2BIN(BC375,8)&amp;LEFT(HEX2BIN($A$1,8),1),8)),IF(AND(BG376=2,BC368=1),DEC2HEX(_xlfn.BITXOR(BIN2DEC(RIGHT(HEX2BIN(BC375,8)&amp;LEFT(HEX2BIN($A$1,8),1),8)),HEX2DEC($B$1))),IF(AND(BG376=3,BC368=1),DEC2HEX(_xlfn.BITXOR(_xlfn.BITXOR(BIN2DEC(RIGHT(HEX2BIN(BC375,8)&amp;LEFT(HEX2BIN($A$1,8),1),8)),HEX2DEC($B$1)),HEX2DEC(BC375))),BC375))))),HEX2DEC(IF(AND(BH376=3,BC369=0),DEC2HEX(_xlfn.BITXOR(BIN2DEC((RIGHT(HEX2BIN(BC376,8)&amp;LEFT(HEX2BIN($A$1,8),1),8))),HEX2DEC(BC376)),2),IF(AND(BH376=2,BC369=0),BIN2HEX(RIGHT(HEX2BIN(BC376,8)&amp;LEFT(HEX2BIN($A$1,8),1),8)),IF(AND(BH376=2,BC369=1),DEC2HEX(_xlfn.BITXOR(BIN2DEC(RIGHT(HEX2BIN(BC376,8)&amp;LEFT(HEX2BIN($A$1,8),1),8)),HEX2DEC($B$1))),IF(AND(BH376=3,BC369=1),DEC2HEX(_xlfn.BITXOR(_xlfn.BITXOR(BIN2DEC(RIGHT(HEX2BIN(BC376,8)&amp;LEFT(HEX2BIN($A$1,8),1),8)),HEX2DEC($B$1)),HEX2DEC(BC376))),BC376)))))),HEX2DEC(IF(AND(BI376=3,BC370=0),DEC2HEX(_xlfn.BITXOR(BIN2DEC((RIGHT(HEX2BIN(BC377,8)&amp;LEFT(HEX2BIN($A$1,8),1),8))),HEX2DEC(BC377)),2),IF(AND(BI376=2,BC370=0),BIN2HEX(RIGHT(HEX2BIN(BC377,8)&amp;LEFT(HEX2BIN($A$1,8),1),8)),IF(AND(BI376=2,BC370=1),DEC2HEX(_xlfn.BITXOR(BIN2DEC(RIGHT(HEX2BIN(BC377,8)&amp;LEFT(HEX2BIN($A$1,8),1),8)),HEX2DEC($B$1))),IF(AND(BI376=3,BC370=1),DEC2HEX(_xlfn.BITXOR(_xlfn.BITXOR(BIN2DEC(RIGHT(HEX2BIN(BC377,8)&amp;LEFT(HEX2BIN($A$1,8),1),8)),HEX2DEC($B$1)),HEX2DEC(BC377))),BC377)))))),HEX2DEC(IF(AND(BJ376=3,BC371=0),DEC2HEX(_xlfn.BITXOR(BIN2DEC((RIGHT(HEX2BIN(BC378,8)&amp;LEFT(HEX2BIN($A$1,8),1),8))),HEX2DEC(BC378)),2),IF(AND(BJ376=2,BC371=0),BIN2HEX(RIGHT(HEX2BIN(BC378,8)&amp;LEFT(HEX2BIN($A$1,8),1),8)),IF(AND(BJ376=2,BC371=1),DEC2HEX(_xlfn.BITXOR(BIN2DEC(RIGHT(HEX2BIN(BC378,8)&amp;LEFT(HEX2BIN($A$1,8),1),8)),HEX2DEC($B$1))),IF(AND(BJ376=3,BC371=1),DEC2HEX(_xlfn.BITXOR(_xlfn.BITXOR(BIN2DEC(RIGHT(HEX2BIN(BC378,8)&amp;LEFT(HEX2BIN($A$1,8),1),8)),HEX2DEC($B$1)),HEX2DEC(BC378))),BC378)))))))</f>
        <v>EC</v>
      </c>
      <c r="BN376" s="44" t="str">
        <f>DEC2HEX(_xlfn.BITXOR(_xlfn.BITXOR(_xlfn.BITXOR(HEX2DEC(IF(AND(BG376=3,BD368=0),DEC2HEX(_xlfn.BITXOR(BIN2DEC((RIGHT(HEX2BIN(BD375,8)&amp;LEFT(HEX2BIN($A$1,8),1),8))),HEX2DEC(BD375)),2),IF(AND(BG376=2,BD368=0),BIN2HEX(RIGHT(HEX2BIN(BD375,8)&amp;LEFT(HEX2BIN($A$1,8),1),8)),IF(AND(BG376=2,BD368=1),DEC2HEX(_xlfn.BITXOR(BIN2DEC(RIGHT(HEX2BIN(BD375,8)&amp;LEFT(HEX2BIN($A$1,8),1),8)),HEX2DEC($B$1))),IF(AND(BG376=3,BD368=1),DEC2HEX(_xlfn.BITXOR(_xlfn.BITXOR(BIN2DEC(RIGHT(HEX2BIN(BD375,8)&amp;LEFT(HEX2BIN($A$1,8),1),8)),HEX2DEC($B$1)),HEX2DEC(BD375))),BD375))))),HEX2DEC(IF(AND(BH376=3,BD369=0),DEC2HEX(_xlfn.BITXOR(BIN2DEC((RIGHT(HEX2BIN(BD376,8)&amp;LEFT(HEX2BIN($A$1,8),1),8))),HEX2DEC(BD376)),2),IF(AND(BH376=2,BD369=0),BIN2HEX(RIGHT(HEX2BIN(BD376,8)&amp;LEFT(HEX2BIN($A$1,8),1),8)),IF(AND(BH376=2,BD369=1),DEC2HEX(_xlfn.BITXOR(BIN2DEC(RIGHT(HEX2BIN(BD376,8)&amp;LEFT(HEX2BIN($A$1,8),1),8)),HEX2DEC($B$1))),IF(AND(BH376=3,BD369=1),DEC2HEX(_xlfn.BITXOR(_xlfn.BITXOR(BIN2DEC(RIGHT(HEX2BIN(BD376,8)&amp;LEFT(HEX2BIN($A$1,8),1),8)),HEX2DEC($B$1)),HEX2DEC(BD376))),BD376)))))),HEX2DEC(IF(AND(BI376=3,BD370=0),DEC2HEX(_xlfn.BITXOR(BIN2DEC((RIGHT(HEX2BIN(BD377,8)&amp;LEFT(HEX2BIN($A$1,8),1),8))),HEX2DEC(BD377)),2),IF(AND(BI376=2,BD370=0),BIN2HEX(RIGHT(HEX2BIN(BD377,8)&amp;LEFT(HEX2BIN($A$1,8),1),8)),IF(AND(BI376=2,BD370=1),DEC2HEX(_xlfn.BITXOR(BIN2DEC(RIGHT(HEX2BIN(BD377,8)&amp;LEFT(HEX2BIN($A$1,8),1),8)),HEX2DEC($B$1))),IF(AND(BI376=3,BD370=1),DEC2HEX(_xlfn.BITXOR(_xlfn.BITXOR(BIN2DEC(RIGHT(HEX2BIN(BD377,8)&amp;LEFT(HEX2BIN($A$1,8),1),8)),HEX2DEC($B$1)),HEX2DEC(BD377))),BD377)))))),HEX2DEC(IF(AND(BJ376=3,BD371=0),DEC2HEX(_xlfn.BITXOR(BIN2DEC((RIGHT(HEX2BIN(BD378,8)&amp;LEFT(HEX2BIN($A$1,8),1),8))),HEX2DEC(BD378)),2),IF(AND(BJ376=2,BD371=0),BIN2HEX(RIGHT(HEX2BIN(BD378,8)&amp;LEFT(HEX2BIN($A$1,8),1),8)),IF(AND(BJ376=2,BD371=1),DEC2HEX(_xlfn.BITXOR(BIN2DEC(RIGHT(HEX2BIN(BD378,8)&amp;LEFT(HEX2BIN($A$1,8),1),8)),HEX2DEC($B$1))),IF(AND(BJ376=3,BD371=1),DEC2HEX(_xlfn.BITXOR(_xlfn.BITXOR(BIN2DEC(RIGHT(HEX2BIN(BD378,8)&amp;LEFT(HEX2BIN($A$1,8),1),8)),HEX2DEC($B$1)),HEX2DEC(BD378))),BD378)))))))</f>
        <v>B9</v>
      </c>
      <c r="BO376" s="44" t="str">
        <f>DEC2HEX(_xlfn.BITXOR(_xlfn.BITXOR(_xlfn.BITXOR(HEX2DEC(IF(AND(BG376=3,BE368=0),DEC2HEX(_xlfn.BITXOR(BIN2DEC((RIGHT(HEX2BIN(BE375,8)&amp;LEFT(HEX2BIN($A$1,8),1),8))),HEX2DEC(BE375)),2),IF(AND(BG376=2,BE368=0),BIN2HEX(RIGHT(HEX2BIN(BE375,8)&amp;LEFT(HEX2BIN($A$1,8),1),8)),IF(AND(BG376=2,BE368=1),DEC2HEX(_xlfn.BITXOR(BIN2DEC(RIGHT(HEX2BIN(BE375,8)&amp;LEFT(HEX2BIN($A$1,8),1),8)),HEX2DEC($B$1))),IF(AND(BG376=3,BE368=1),DEC2HEX(_xlfn.BITXOR(_xlfn.BITXOR(BIN2DEC(RIGHT(HEX2BIN(BE375,8)&amp;LEFT(HEX2BIN($A$1,8),1),8)),HEX2DEC($B$1)),HEX2DEC(BE375))),BE375))))),HEX2DEC(IF(AND(BH376=3,BE369=0),DEC2HEX(_xlfn.BITXOR(BIN2DEC((RIGHT(HEX2BIN(BE376,8)&amp;LEFT(HEX2BIN($A$1,8),1),8))),HEX2DEC(BE376)),2),IF(AND(BH376=2,BE369=0),BIN2HEX(RIGHT(HEX2BIN(BE376,8)&amp;LEFT(HEX2BIN($A$1,8),1),8)),IF(AND(BH376=2,BE369=1),DEC2HEX(_xlfn.BITXOR(BIN2DEC(RIGHT(HEX2BIN(BE376,8)&amp;LEFT(HEX2BIN($A$1,8),1),8)),HEX2DEC($B$1))),IF(AND(BH376=3,BE369=1),DEC2HEX(_xlfn.BITXOR(_xlfn.BITXOR(BIN2DEC(RIGHT(HEX2BIN(BE376,8)&amp;LEFT(HEX2BIN($A$1,8),1),8)),HEX2DEC($B$1)),HEX2DEC(BE376))),BE376)))))),HEX2DEC(IF(AND(BI376=3,BE370=0),DEC2HEX(_xlfn.BITXOR(BIN2DEC((RIGHT(HEX2BIN(BE377,8)&amp;LEFT(HEX2BIN($A$1,8),1),8))),HEX2DEC(BE377)),2),IF(AND(BI376=2,BE370=0),BIN2HEX(RIGHT(HEX2BIN(BE377,8)&amp;LEFT(HEX2BIN($A$1,8),1),8)),IF(AND(BI376=2,BE370=1),DEC2HEX(_xlfn.BITXOR(BIN2DEC(RIGHT(HEX2BIN(BE377,8)&amp;LEFT(HEX2BIN($A$1,8),1),8)),HEX2DEC($B$1))),IF(AND(BI376=3,BE370=1),DEC2HEX(_xlfn.BITXOR(_xlfn.BITXOR(BIN2DEC(RIGHT(HEX2BIN(BE377,8)&amp;LEFT(HEX2BIN($A$1,8),1),8)),HEX2DEC($B$1)),HEX2DEC(BE377))),BE377)))))),HEX2DEC(IF(AND(BJ376=3,BE371=0),DEC2HEX(_xlfn.BITXOR(BIN2DEC((RIGHT(HEX2BIN(BE378,8)&amp;LEFT(HEX2BIN($A$1,8),1),8))),HEX2DEC(BE378)),2),IF(AND(BJ376=2,BE371=0),BIN2HEX(RIGHT(HEX2BIN(BE378,8)&amp;LEFT(HEX2BIN($A$1,8),1),8)),IF(AND(BJ376=2,BE371=1),DEC2HEX(_xlfn.BITXOR(BIN2DEC(RIGHT(HEX2BIN(BE378,8)&amp;LEFT(HEX2BIN($A$1,8),1),8)),HEX2DEC($B$1))),IF(AND(BJ376=3,BE371=1),DEC2HEX(_xlfn.BITXOR(_xlfn.BITXOR(BIN2DEC(RIGHT(HEX2BIN(BE378,8)&amp;LEFT(HEX2BIN($A$1,8),1),8)),HEX2DEC($B$1)),HEX2DEC(BE378))),BE378)))))))</f>
        <v>74</v>
      </c>
      <c r="BS376" s="1" t="s">
        <v>85</v>
      </c>
      <c r="BT376" s="1" t="s">
        <v>166</v>
      </c>
      <c r="BU376" s="1" t="s">
        <v>207</v>
      </c>
      <c r="BV376" s="1" t="s">
        <v>203</v>
      </c>
    </row>
    <row r="377" spans="2:74" x14ac:dyDescent="0.25">
      <c r="B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H377" s="14" t="str">
        <f t="shared" si="226"/>
        <v>9C</v>
      </c>
      <c r="AI377" s="14" t="str">
        <f t="shared" si="227"/>
        <v>D2</v>
      </c>
      <c r="AJ377" s="14" t="str">
        <f t="shared" si="228"/>
        <v>1C</v>
      </c>
      <c r="AK377" s="14" t="str">
        <f t="shared" si="229"/>
        <v>AC</v>
      </c>
      <c r="AM377" s="35" t="str">
        <f t="shared" si="230"/>
        <v>83</v>
      </c>
      <c r="AN377" s="35" t="str">
        <f t="shared" si="219"/>
        <v>BF</v>
      </c>
      <c r="AO377" s="35" t="str">
        <f t="shared" si="219"/>
        <v>AD</v>
      </c>
      <c r="AP377" s="35" t="str">
        <f t="shared" si="219"/>
        <v>EB</v>
      </c>
      <c r="AR377" s="35" t="str">
        <f t="shared" si="231"/>
        <v>1F</v>
      </c>
      <c r="AS377" s="35" t="str">
        <f t="shared" si="220"/>
        <v>6D</v>
      </c>
      <c r="AT377" s="35" t="str">
        <f t="shared" si="221"/>
        <v>B1</v>
      </c>
      <c r="AU377" s="35" t="str">
        <f t="shared" si="222"/>
        <v>47</v>
      </c>
      <c r="AW377" s="1" t="s">
        <v>104</v>
      </c>
      <c r="AX377" s="1" t="s">
        <v>88</v>
      </c>
      <c r="AY377" s="1" t="s">
        <v>67</v>
      </c>
      <c r="AZ377" s="1" t="s">
        <v>178</v>
      </c>
      <c r="BB377" s="43" t="str">
        <f>AY377</f>
        <v>C8</v>
      </c>
      <c r="BC377" s="43" t="str">
        <f>AZ377</f>
        <v>A0</v>
      </c>
      <c r="BD377" s="43" t="str">
        <f>AW377</f>
        <v>C0</v>
      </c>
      <c r="BE377" s="29" t="str">
        <f>AX377</f>
        <v>3C</v>
      </c>
      <c r="BF377" s="43"/>
      <c r="BG377" s="34">
        <v>1</v>
      </c>
      <c r="BH377" s="34">
        <v>1</v>
      </c>
      <c r="BI377" s="34">
        <v>2</v>
      </c>
      <c r="BJ377" s="34">
        <v>3</v>
      </c>
      <c r="BK377" s="35"/>
      <c r="BL377" s="44" t="str">
        <f>DEC2HEX(_xlfn.BITXOR(_xlfn.BITXOR(_xlfn.BITXOR(HEX2DEC(IF(AND(BG377=3,BB368=0),DEC2HEX(_xlfn.BITXOR(BIN2DEC((RIGHT(HEX2BIN(BB375,8)&amp;LEFT(HEX2BIN($A$1,8),1),8))),HEX2DEC(BB375)),2),IF(AND(BG377=2,BB368=0),BIN2HEX(RIGHT(HEX2BIN(BB375,8)&amp;LEFT(HEX2BIN($A$1,8),1),8)),IF(AND(BG377=2,BB368=1),DEC2HEX(_xlfn.BITXOR(BIN2DEC(RIGHT(HEX2BIN(BB375,8)&amp;LEFT(HEX2BIN($A$1,8),1),8)),HEX2DEC($B$1))),IF(AND(BG377=3,BB368=1),DEC2HEX(_xlfn.BITXOR(_xlfn.BITXOR(BIN2DEC(RIGHT(HEX2BIN(BB375,8)&amp;LEFT(HEX2BIN($A$1,8),1),8)),HEX2DEC($B$1)),HEX2DEC(BB375))),BB375))))),HEX2DEC(IF(AND(BH377=3,BB369=0),DEC2HEX(_xlfn.BITXOR(BIN2DEC((RIGHT(HEX2BIN(BB376,8)&amp;LEFT(HEX2BIN($A$1,8),1),8))),HEX2DEC(BB376)),2),IF(AND(BH377=2,BB369=0),BIN2HEX(RIGHT(HEX2BIN(BB376,8)&amp;LEFT(HEX2BIN($A$1,8),1),8)),IF(AND(BH377=2,BB369=1),DEC2HEX(_xlfn.BITXOR(BIN2DEC(RIGHT(HEX2BIN(BB376,8)&amp;LEFT(HEX2BIN($A$1,8),1),8)),HEX2DEC($B$1))),IF(AND(BH377=3,BB369=1),DEC2HEX(_xlfn.BITXOR(_xlfn.BITXOR(BIN2DEC(RIGHT(HEX2BIN(BB376,8)&amp;LEFT(HEX2BIN($A$1,8),1),8)),HEX2DEC($B$1)),HEX2DEC(BB376))),BB376)))))),HEX2DEC(IF(AND(BI377=3,BB370=0),DEC2HEX(_xlfn.BITXOR(BIN2DEC((RIGHT(HEX2BIN(BB377,8)&amp;LEFT(HEX2BIN($A$1,8),1),8))),HEX2DEC(BB377)),2),IF(AND(BI377=2,BB370=0),BIN2HEX(RIGHT(HEX2BIN(BB377,8)&amp;LEFT(HEX2BIN($A$1,8),1),8)),IF(AND(BI377=2,BB370=1),DEC2HEX(_xlfn.BITXOR(BIN2DEC(RIGHT(HEX2BIN(BB377,8)&amp;LEFT(HEX2BIN($A$1,8),1),8)),HEX2DEC($B$1))),IF(AND(BI377=3,BB370=1),DEC2HEX(_xlfn.BITXOR(_xlfn.BITXOR(BIN2DEC(RIGHT(HEX2BIN(BB377,8)&amp;LEFT(HEX2BIN($A$1,8),1),8)),HEX2DEC($B$1)),HEX2DEC(BB377))),BB377)))))),HEX2DEC(IF(AND(BJ377=3,BB371=0),DEC2HEX(_xlfn.BITXOR(BIN2DEC((RIGHT(HEX2BIN(BB378,8)&amp;LEFT(HEX2BIN($A$1,8),1),8))),HEX2DEC(BB378)),2),IF(AND(BJ377=2,BB371=0),BIN2HEX(RIGHT(HEX2BIN(BB378,8)&amp;LEFT(HEX2BIN($A$1,8),1),8)),IF(AND(BJ377=2,BB371=1),DEC2HEX(_xlfn.BITXOR(BIN2DEC(RIGHT(HEX2BIN(BB378,8)&amp;LEFT(HEX2BIN($A$1,8),1),8)),HEX2DEC($B$1))),IF(AND(BJ377=3,BB371=1),DEC2HEX(_xlfn.BITXOR(_xlfn.BITXOR(BIN2DEC(RIGHT(HEX2BIN(BB378,8)&amp;LEFT(HEX2BIN($A$1,8),1),8)),HEX2DEC($B$1)),HEX2DEC(BB378))),BB378)))))))</f>
        <v>6A</v>
      </c>
      <c r="BM377" s="44" t="str">
        <f>DEC2HEX(_xlfn.BITXOR(_xlfn.BITXOR(_xlfn.BITXOR(HEX2DEC(IF(AND(BG377=3,BC368=0),DEC2HEX(_xlfn.BITXOR(BIN2DEC((RIGHT(HEX2BIN(BC375,8)&amp;LEFT(HEX2BIN($A$1,8),1),8))),HEX2DEC(BC375)),2),IF(AND(BG377=2,BC368=0),BIN2HEX(RIGHT(HEX2BIN(BC375,8)&amp;LEFT(HEX2BIN($A$1,8),1),8)),IF(AND(BG377=2,BC368=1),DEC2HEX(_xlfn.BITXOR(BIN2DEC(RIGHT(HEX2BIN(BC375,8)&amp;LEFT(HEX2BIN($A$1,8),1),8)),HEX2DEC($B$1))),IF(AND(BG377=3,BC368=1),DEC2HEX(_xlfn.BITXOR(_xlfn.BITXOR(BIN2DEC(RIGHT(HEX2BIN(BC375,8)&amp;LEFT(HEX2BIN($A$1,8),1),8)),HEX2DEC($B$1)),HEX2DEC(BC375))),BC375))))),HEX2DEC(IF(AND(BH377=3,BC369=0),DEC2HEX(_xlfn.BITXOR(BIN2DEC((RIGHT(HEX2BIN(BC376,8)&amp;LEFT(HEX2BIN($A$1,8),1),8))),HEX2DEC(BC376)),2),IF(AND(BH377=2,BC369=0),BIN2HEX(RIGHT(HEX2BIN(BC376,8)&amp;LEFT(HEX2BIN($A$1,8),1),8)),IF(AND(BH377=2,BC369=1),DEC2HEX(_xlfn.BITXOR(BIN2DEC(RIGHT(HEX2BIN(BC376,8)&amp;LEFT(HEX2BIN($A$1,8),1),8)),HEX2DEC($B$1))),IF(AND(BH377=3,BC369=1),DEC2HEX(_xlfn.BITXOR(_xlfn.BITXOR(BIN2DEC(RIGHT(HEX2BIN(BC376,8)&amp;LEFT(HEX2BIN($A$1,8),1),8)),HEX2DEC($B$1)),HEX2DEC(BC376))),BC376)))))),HEX2DEC(IF(AND(BI377=3,BC370=0),DEC2HEX(_xlfn.BITXOR(BIN2DEC((RIGHT(HEX2BIN(BC377,8)&amp;LEFT(HEX2BIN($A$1,8),1),8))),HEX2DEC(BC377)),2),IF(AND(BI377=2,BC370=0),BIN2HEX(RIGHT(HEX2BIN(BC377,8)&amp;LEFT(HEX2BIN($A$1,8),1),8)),IF(AND(BI377=2,BC370=1),DEC2HEX(_xlfn.BITXOR(BIN2DEC(RIGHT(HEX2BIN(BC377,8)&amp;LEFT(HEX2BIN($A$1,8),1),8)),HEX2DEC($B$1))),IF(AND(BI377=3,BC370=1),DEC2HEX(_xlfn.BITXOR(_xlfn.BITXOR(BIN2DEC(RIGHT(HEX2BIN(BC377,8)&amp;LEFT(HEX2BIN($A$1,8),1),8)),HEX2DEC($B$1)),HEX2DEC(BC377))),BC377)))))),HEX2DEC(IF(AND(BJ377=3,BC371=0),DEC2HEX(_xlfn.BITXOR(BIN2DEC((RIGHT(HEX2BIN(BC378,8)&amp;LEFT(HEX2BIN($A$1,8),1),8))),HEX2DEC(BC378)),2),IF(AND(BJ377=2,BC371=0),BIN2HEX(RIGHT(HEX2BIN(BC378,8)&amp;LEFT(HEX2BIN($A$1,8),1),8)),IF(AND(BJ377=2,BC371=1),DEC2HEX(_xlfn.BITXOR(BIN2DEC(RIGHT(HEX2BIN(BC378,8)&amp;LEFT(HEX2BIN($A$1,8),1),8)),HEX2DEC($B$1))),IF(AND(BJ377=3,BC371=1),DEC2HEX(_xlfn.BITXOR(_xlfn.BITXOR(BIN2DEC(RIGHT(HEX2BIN(BC378,8)&amp;LEFT(HEX2BIN($A$1,8),1),8)),HEX2DEC($B$1)),HEX2DEC(BC378))),BC378)))))))</f>
        <v>63</v>
      </c>
      <c r="BN377" s="44" t="str">
        <f>DEC2HEX(_xlfn.BITXOR(_xlfn.BITXOR(_xlfn.BITXOR(HEX2DEC(IF(AND(BG377=3,BD368=0),DEC2HEX(_xlfn.BITXOR(BIN2DEC((RIGHT(HEX2BIN(BD375,8)&amp;LEFT(HEX2BIN($A$1,8),1),8))),HEX2DEC(BD375)),2),IF(AND(BG377=2,BD368=0),BIN2HEX(RIGHT(HEX2BIN(BD375,8)&amp;LEFT(HEX2BIN($A$1,8),1),8)),IF(AND(BG377=2,BD368=1),DEC2HEX(_xlfn.BITXOR(BIN2DEC(RIGHT(HEX2BIN(BD375,8)&amp;LEFT(HEX2BIN($A$1,8),1),8)),HEX2DEC($B$1))),IF(AND(BG377=3,BD368=1),DEC2HEX(_xlfn.BITXOR(_xlfn.BITXOR(BIN2DEC(RIGHT(HEX2BIN(BD375,8)&amp;LEFT(HEX2BIN($A$1,8),1),8)),HEX2DEC($B$1)),HEX2DEC(BD375))),BD375))))),HEX2DEC(IF(AND(BH377=3,BD369=0),DEC2HEX(_xlfn.BITXOR(BIN2DEC((RIGHT(HEX2BIN(BD376,8)&amp;LEFT(HEX2BIN($A$1,8),1),8))),HEX2DEC(BD376)),2),IF(AND(BH377=2,BD369=0),BIN2HEX(RIGHT(HEX2BIN(BD376,8)&amp;LEFT(HEX2BIN($A$1,8),1),8)),IF(AND(BH377=2,BD369=1),DEC2HEX(_xlfn.BITXOR(BIN2DEC(RIGHT(HEX2BIN(BD376,8)&amp;LEFT(HEX2BIN($A$1,8),1),8)),HEX2DEC($B$1))),IF(AND(BH377=3,BD369=1),DEC2HEX(_xlfn.BITXOR(_xlfn.BITXOR(BIN2DEC(RIGHT(HEX2BIN(BD376,8)&amp;LEFT(HEX2BIN($A$1,8),1),8)),HEX2DEC($B$1)),HEX2DEC(BD376))),BD376)))))),HEX2DEC(IF(AND(BI377=3,BD370=0),DEC2HEX(_xlfn.BITXOR(BIN2DEC((RIGHT(HEX2BIN(BD377,8)&amp;LEFT(HEX2BIN($A$1,8),1),8))),HEX2DEC(BD377)),2),IF(AND(BI377=2,BD370=0),BIN2HEX(RIGHT(HEX2BIN(BD377,8)&amp;LEFT(HEX2BIN($A$1,8),1),8)),IF(AND(BI377=2,BD370=1),DEC2HEX(_xlfn.BITXOR(BIN2DEC(RIGHT(HEX2BIN(BD377,8)&amp;LEFT(HEX2BIN($A$1,8),1),8)),HEX2DEC($B$1))),IF(AND(BI377=3,BD370=1),DEC2HEX(_xlfn.BITXOR(_xlfn.BITXOR(BIN2DEC(RIGHT(HEX2BIN(BD377,8)&amp;LEFT(HEX2BIN($A$1,8),1),8)),HEX2DEC($B$1)),HEX2DEC(BD377))),BD377)))))),HEX2DEC(IF(AND(BJ377=3,BD371=0),DEC2HEX(_xlfn.BITXOR(BIN2DEC((RIGHT(HEX2BIN(BD378,8)&amp;LEFT(HEX2BIN($A$1,8),1),8))),HEX2DEC(BD378)),2),IF(AND(BJ377=2,BD371=0),BIN2HEX(RIGHT(HEX2BIN(BD378,8)&amp;LEFT(HEX2BIN($A$1,8),1),8)),IF(AND(BJ377=2,BD371=1),DEC2HEX(_xlfn.BITXOR(BIN2DEC(RIGHT(HEX2BIN(BD378,8)&amp;LEFT(HEX2BIN($A$1,8),1),8)),HEX2DEC($B$1))),IF(AND(BJ377=3,BD371=1),DEC2HEX(_xlfn.BITXOR(_xlfn.BITXOR(BIN2DEC(RIGHT(HEX2BIN(BD378,8)&amp;LEFT(HEX2BIN($A$1,8),1),8)),HEX2DEC($B$1)),HEX2DEC(BD378))),BD378)))))))</f>
        <v>1E</v>
      </c>
      <c r="BO377" s="44" t="str">
        <f>DEC2HEX(_xlfn.BITXOR(_xlfn.BITXOR(_xlfn.BITXOR(HEX2DEC(IF(AND(BG377=3,BE368=0),DEC2HEX(_xlfn.BITXOR(BIN2DEC((RIGHT(HEX2BIN(BE375,8)&amp;LEFT(HEX2BIN($A$1,8),1),8))),HEX2DEC(BE375)),2),IF(AND(BG377=2,BE368=0),BIN2HEX(RIGHT(HEX2BIN(BE375,8)&amp;LEFT(HEX2BIN($A$1,8),1),8)),IF(AND(BG377=2,BE368=1),DEC2HEX(_xlfn.BITXOR(BIN2DEC(RIGHT(HEX2BIN(BE375,8)&amp;LEFT(HEX2BIN($A$1,8),1),8)),HEX2DEC($B$1))),IF(AND(BG377=3,BE368=1),DEC2HEX(_xlfn.BITXOR(_xlfn.BITXOR(BIN2DEC(RIGHT(HEX2BIN(BE375,8)&amp;LEFT(HEX2BIN($A$1,8),1),8)),HEX2DEC($B$1)),HEX2DEC(BE375))),BE375))))),HEX2DEC(IF(AND(BH377=3,BE369=0),DEC2HEX(_xlfn.BITXOR(BIN2DEC((RIGHT(HEX2BIN(BE376,8)&amp;LEFT(HEX2BIN($A$1,8),1),8))),HEX2DEC(BE376)),2),IF(AND(BH377=2,BE369=0),BIN2HEX(RIGHT(HEX2BIN(BE376,8)&amp;LEFT(HEX2BIN($A$1,8),1),8)),IF(AND(BH377=2,BE369=1),DEC2HEX(_xlfn.BITXOR(BIN2DEC(RIGHT(HEX2BIN(BE376,8)&amp;LEFT(HEX2BIN($A$1,8),1),8)),HEX2DEC($B$1))),IF(AND(BH377=3,BE369=1),DEC2HEX(_xlfn.BITXOR(_xlfn.BITXOR(BIN2DEC(RIGHT(HEX2BIN(BE376,8)&amp;LEFT(HEX2BIN($A$1,8),1),8)),HEX2DEC($B$1)),HEX2DEC(BE376))),BE376)))))),HEX2DEC(IF(AND(BI377=3,BE370=0),DEC2HEX(_xlfn.BITXOR(BIN2DEC((RIGHT(HEX2BIN(BE377,8)&amp;LEFT(HEX2BIN($A$1,8),1),8))),HEX2DEC(BE377)),2),IF(AND(BI377=2,BE370=0),BIN2HEX(RIGHT(HEX2BIN(BE377,8)&amp;LEFT(HEX2BIN($A$1,8),1),8)),IF(AND(BI377=2,BE370=1),DEC2HEX(_xlfn.BITXOR(BIN2DEC(RIGHT(HEX2BIN(BE377,8)&amp;LEFT(HEX2BIN($A$1,8),1),8)),HEX2DEC($B$1))),IF(AND(BI377=3,BE370=1),DEC2HEX(_xlfn.BITXOR(_xlfn.BITXOR(BIN2DEC(RIGHT(HEX2BIN(BE377,8)&amp;LEFT(HEX2BIN($A$1,8),1),8)),HEX2DEC($B$1)),HEX2DEC(BE377))),BE377)))))),HEX2DEC(IF(AND(BJ377=3,BE371=0),DEC2HEX(_xlfn.BITXOR(BIN2DEC((RIGHT(HEX2BIN(BE378,8)&amp;LEFT(HEX2BIN($A$1,8),1),8))),HEX2DEC(BE378)),2),IF(AND(BJ377=2,BE371=0),BIN2HEX(RIGHT(HEX2BIN(BE378,8)&amp;LEFT(HEX2BIN($A$1,8),1),8)),IF(AND(BJ377=2,BE371=1),DEC2HEX(_xlfn.BITXOR(BIN2DEC(RIGHT(HEX2BIN(BE378,8)&amp;LEFT(HEX2BIN($A$1,8),1),8)),HEX2DEC($B$1))),IF(AND(BJ377=3,BE371=1),DEC2HEX(_xlfn.BITXOR(_xlfn.BITXOR(BIN2DEC(RIGHT(HEX2BIN(BE378,8)&amp;LEFT(HEX2BIN($A$1,8),1),8)),HEX2DEC($B$1)),HEX2DEC(BE378))),BE378)))))))</f>
        <v>9D</v>
      </c>
      <c r="BS377" s="1" t="s">
        <v>110</v>
      </c>
      <c r="BT377" s="1" t="s">
        <v>110</v>
      </c>
      <c r="BU377" s="1" t="s">
        <v>110</v>
      </c>
      <c r="BV377" s="1">
        <v>17</v>
      </c>
    </row>
    <row r="378" spans="2:74" x14ac:dyDescent="0.25">
      <c r="B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H378" s="14" t="str">
        <f t="shared" si="226"/>
        <v>1</v>
      </c>
      <c r="AI378" s="14" t="str">
        <f t="shared" si="227"/>
        <v>DA</v>
      </c>
      <c r="AJ378" s="14" t="str">
        <f t="shared" si="228"/>
        <v>EE</v>
      </c>
      <c r="AK378" s="14" t="str">
        <f t="shared" si="229"/>
        <v>88</v>
      </c>
      <c r="AM378" s="35" t="str">
        <f t="shared" si="230"/>
        <v>46</v>
      </c>
      <c r="AN378" s="35" t="str">
        <f t="shared" si="219"/>
        <v>B1</v>
      </c>
      <c r="AO378" s="35" t="str">
        <f t="shared" si="219"/>
        <v>84</v>
      </c>
      <c r="AP378" s="35" t="str">
        <f t="shared" si="219"/>
        <v>6F</v>
      </c>
      <c r="AR378" s="35" t="str">
        <f t="shared" si="231"/>
        <v>47</v>
      </c>
      <c r="AS378" s="35" t="str">
        <f t="shared" si="220"/>
        <v>6B</v>
      </c>
      <c r="AT378" s="35" t="str">
        <f t="shared" si="221"/>
        <v>6A</v>
      </c>
      <c r="AU378" s="35" t="str">
        <f t="shared" si="222"/>
        <v>E7</v>
      </c>
      <c r="AW378" s="1" t="s">
        <v>178</v>
      </c>
      <c r="AX378" s="1" t="s">
        <v>165</v>
      </c>
      <c r="AY378" s="1">
        <v>2</v>
      </c>
      <c r="AZ378" s="1">
        <v>94</v>
      </c>
      <c r="BB378" s="43">
        <f>AZ378</f>
        <v>94</v>
      </c>
      <c r="BC378" s="43" t="str">
        <f>AW378</f>
        <v>A0</v>
      </c>
      <c r="BD378" s="43" t="str">
        <f t="shared" ref="BD378" si="234">AX378</f>
        <v>7F</v>
      </c>
      <c r="BE378" s="30">
        <f t="shared" ref="BE378" si="235">AY378</f>
        <v>2</v>
      </c>
      <c r="BF378" s="43"/>
      <c r="BG378" s="31">
        <v>3</v>
      </c>
      <c r="BH378" s="32">
        <v>1</v>
      </c>
      <c r="BI378" s="32">
        <v>1</v>
      </c>
      <c r="BJ378" s="33">
        <v>2</v>
      </c>
      <c r="BK378" s="35"/>
      <c r="BL378" s="44" t="str">
        <f>DEC2HEX(_xlfn.BITXOR(_xlfn.BITXOR(_xlfn.BITXOR(HEX2DEC(IF(AND(BG378=3,BB368=0),DEC2HEX(_xlfn.BITXOR(BIN2DEC((RIGHT(HEX2BIN(BB375,8)&amp;LEFT(HEX2BIN($A$1,8),1),8))),HEX2DEC(BB375)),2),IF(AND(BG378=2,BB368=0),BIN2HEX(RIGHT(HEX2BIN(BB375,8)&amp;LEFT(HEX2BIN($A$1,8),1),8)),IF(AND(BG378=2,BB368=1),DEC2HEX(_xlfn.BITXOR(BIN2DEC(RIGHT(HEX2BIN(BB375,8)&amp;LEFT(HEX2BIN($A$1,8),1),8)),HEX2DEC($B$1))),IF(AND(BG378=3,BB368=1),DEC2HEX(_xlfn.BITXOR(_xlfn.BITXOR(BIN2DEC(RIGHT(HEX2BIN(BB375,8)&amp;LEFT(HEX2BIN($A$1,8),1),8)),HEX2DEC($B$1)),HEX2DEC(BB375))),BB375))))),HEX2DEC(IF(AND(BH378=3,BB369=0),DEC2HEX(_xlfn.BITXOR(BIN2DEC((RIGHT(HEX2BIN(BB376,8)&amp;LEFT(HEX2BIN($A$1,8),1),8))),HEX2DEC(BB376)),2),IF(AND(BH378=2,BB369=0),BIN2HEX(RIGHT(HEX2BIN(BB376,8)&amp;LEFT(HEX2BIN($A$1,8),1),8)),IF(AND(BH378=2,BB369=1),DEC2HEX(_xlfn.BITXOR(BIN2DEC(RIGHT(HEX2BIN(BB376,8)&amp;LEFT(HEX2BIN($A$1,8),1),8)),HEX2DEC($B$1))),IF(AND(BH378=3,BB369=1),DEC2HEX(_xlfn.BITXOR(_xlfn.BITXOR(BIN2DEC(RIGHT(HEX2BIN(BB376,8)&amp;LEFT(HEX2BIN($A$1,8),1),8)),HEX2DEC($B$1)),HEX2DEC(BB376))),BB376)))))),HEX2DEC(IF(AND(BI378=3,BB370=0),DEC2HEX(_xlfn.BITXOR(BIN2DEC((RIGHT(HEX2BIN(BB377,8)&amp;LEFT(HEX2BIN($A$1,8),1),8))),HEX2DEC(BB377)),2),IF(AND(BI378=2,BB370=0),BIN2HEX(RIGHT(HEX2BIN(BB377,8)&amp;LEFT(HEX2BIN($A$1,8),1),8)),IF(AND(BI378=2,BB370=1),DEC2HEX(_xlfn.BITXOR(BIN2DEC(RIGHT(HEX2BIN(BB377,8)&amp;LEFT(HEX2BIN($A$1,8),1),8)),HEX2DEC($B$1))),IF(AND(BI378=3,BB370=1),DEC2HEX(_xlfn.BITXOR(_xlfn.BITXOR(BIN2DEC(RIGHT(HEX2BIN(BB377,8)&amp;LEFT(HEX2BIN($A$1,8),1),8)),HEX2DEC($B$1)),HEX2DEC(BB377))),BB377)))))),HEX2DEC(IF(AND(BJ378=3,BB371=0),DEC2HEX(_xlfn.BITXOR(BIN2DEC((RIGHT(HEX2BIN(BB378,8)&amp;LEFT(HEX2BIN($A$1,8),1),8))),HEX2DEC(BB378)),2),IF(AND(BJ378=2,BB371=0),BIN2HEX(RIGHT(HEX2BIN(BB378,8)&amp;LEFT(HEX2BIN($A$1,8),1),8)),IF(AND(BJ378=2,BB371=1),DEC2HEX(_xlfn.BITXOR(BIN2DEC(RIGHT(HEX2BIN(BB378,8)&amp;LEFT(HEX2BIN($A$1,8),1),8)),HEX2DEC($B$1))),IF(AND(BJ378=3,BB371=1),DEC2HEX(_xlfn.BITXOR(_xlfn.BITXOR(BIN2DEC(RIGHT(HEX2BIN(BB378,8)&amp;LEFT(HEX2BIN($A$1,8),1),8)),HEX2DEC($B$1)),HEX2DEC(BB378))),BB378)))))))</f>
        <v>C3</v>
      </c>
      <c r="BM378" s="44" t="str">
        <f>DEC2HEX(_xlfn.BITXOR(_xlfn.BITXOR(_xlfn.BITXOR(HEX2DEC(IF(AND(BG378=3,BC368=0),DEC2HEX(_xlfn.BITXOR(BIN2DEC((RIGHT(HEX2BIN(BC375,8)&amp;LEFT(HEX2BIN($A$1,8),1),8))),HEX2DEC(BC375)),2),IF(AND(BG378=2,BC368=0),BIN2HEX(RIGHT(HEX2BIN(BC375,8)&amp;LEFT(HEX2BIN($A$1,8),1),8)),IF(AND(BG378=2,BC368=1),DEC2HEX(_xlfn.BITXOR(BIN2DEC(RIGHT(HEX2BIN(BC375,8)&amp;LEFT(HEX2BIN($A$1,8),1),8)),HEX2DEC($B$1))),IF(AND(BG378=3,BC368=1),DEC2HEX(_xlfn.BITXOR(_xlfn.BITXOR(BIN2DEC(RIGHT(HEX2BIN(BC375,8)&amp;LEFT(HEX2BIN($A$1,8),1),8)),HEX2DEC($B$1)),HEX2DEC(BC375))),BC375))))),HEX2DEC(IF(AND(BH378=3,BC369=0),DEC2HEX(_xlfn.BITXOR(BIN2DEC((RIGHT(HEX2BIN(BC376,8)&amp;LEFT(HEX2BIN($A$1,8),1),8))),HEX2DEC(BC376)),2),IF(AND(BH378=2,BC369=0),BIN2HEX(RIGHT(HEX2BIN(BC376,8)&amp;LEFT(HEX2BIN($A$1,8),1),8)),IF(AND(BH378=2,BC369=1),DEC2HEX(_xlfn.BITXOR(BIN2DEC(RIGHT(HEX2BIN(BC376,8)&amp;LEFT(HEX2BIN($A$1,8),1),8)),HEX2DEC($B$1))),IF(AND(BH378=3,BC369=1),DEC2HEX(_xlfn.BITXOR(_xlfn.BITXOR(BIN2DEC(RIGHT(HEX2BIN(BC376,8)&amp;LEFT(HEX2BIN($A$1,8),1),8)),HEX2DEC($B$1)),HEX2DEC(BC376))),BC376)))))),HEX2DEC(IF(AND(BI378=3,BC370=0),DEC2HEX(_xlfn.BITXOR(BIN2DEC((RIGHT(HEX2BIN(BC377,8)&amp;LEFT(HEX2BIN($A$1,8),1),8))),HEX2DEC(BC377)),2),IF(AND(BI378=2,BC370=0),BIN2HEX(RIGHT(HEX2BIN(BC377,8)&amp;LEFT(HEX2BIN($A$1,8),1),8)),IF(AND(BI378=2,BC370=1),DEC2HEX(_xlfn.BITXOR(BIN2DEC(RIGHT(HEX2BIN(BC377,8)&amp;LEFT(HEX2BIN($A$1,8),1),8)),HEX2DEC($B$1))),IF(AND(BI378=3,BC370=1),DEC2HEX(_xlfn.BITXOR(_xlfn.BITXOR(BIN2DEC(RIGHT(HEX2BIN(BC377,8)&amp;LEFT(HEX2BIN($A$1,8),1),8)),HEX2DEC($B$1)),HEX2DEC(BC377))),BC377)))))),HEX2DEC(IF(AND(BJ378=3,BC371=0),DEC2HEX(_xlfn.BITXOR(BIN2DEC((RIGHT(HEX2BIN(BC378,8)&amp;LEFT(HEX2BIN($A$1,8),1),8))),HEX2DEC(BC378)),2),IF(AND(BJ378=2,BC371=0),BIN2HEX(RIGHT(HEX2BIN(BC378,8)&amp;LEFT(HEX2BIN($A$1,8),1),8)),IF(AND(BJ378=2,BC371=1),DEC2HEX(_xlfn.BITXOR(BIN2DEC(RIGHT(HEX2BIN(BC378,8)&amp;LEFT(HEX2BIN($A$1,8),1),8)),HEX2DEC($B$1))),IF(AND(BJ378=3,BC371=1),DEC2HEX(_xlfn.BITXOR(_xlfn.BITXOR(BIN2DEC(RIGHT(HEX2BIN(BC378,8)&amp;LEFT(HEX2BIN($A$1,8),1),8)),HEX2DEC($B$1)),HEX2DEC(BC378))),BC378)))))))</f>
        <v>FD</v>
      </c>
      <c r="BN378" s="44" t="str">
        <f>DEC2HEX(_xlfn.BITXOR(_xlfn.BITXOR(_xlfn.BITXOR(HEX2DEC(IF(AND(BG378=3,BD368=0),DEC2HEX(_xlfn.BITXOR(BIN2DEC((RIGHT(HEX2BIN(BD375,8)&amp;LEFT(HEX2BIN($A$1,8),1),8))),HEX2DEC(BD375)),2),IF(AND(BG378=2,BD368=0),BIN2HEX(RIGHT(HEX2BIN(BD375,8)&amp;LEFT(HEX2BIN($A$1,8),1),8)),IF(AND(BG378=2,BD368=1),DEC2HEX(_xlfn.BITXOR(BIN2DEC(RIGHT(HEX2BIN(BD375,8)&amp;LEFT(HEX2BIN($A$1,8),1),8)),HEX2DEC($B$1))),IF(AND(BG378=3,BD368=1),DEC2HEX(_xlfn.BITXOR(_xlfn.BITXOR(BIN2DEC(RIGHT(HEX2BIN(BD375,8)&amp;LEFT(HEX2BIN($A$1,8),1),8)),HEX2DEC($B$1)),HEX2DEC(BD375))),BD375))))),HEX2DEC(IF(AND(BH378=3,BD369=0),DEC2HEX(_xlfn.BITXOR(BIN2DEC((RIGHT(HEX2BIN(BD376,8)&amp;LEFT(HEX2BIN($A$1,8),1),8))),HEX2DEC(BD376)),2),IF(AND(BH378=2,BD369=0),BIN2HEX(RIGHT(HEX2BIN(BD376,8)&amp;LEFT(HEX2BIN($A$1,8),1),8)),IF(AND(BH378=2,BD369=1),DEC2HEX(_xlfn.BITXOR(BIN2DEC(RIGHT(HEX2BIN(BD376,8)&amp;LEFT(HEX2BIN($A$1,8),1),8)),HEX2DEC($B$1))),IF(AND(BH378=3,BD369=1),DEC2HEX(_xlfn.BITXOR(_xlfn.BITXOR(BIN2DEC(RIGHT(HEX2BIN(BD376,8)&amp;LEFT(HEX2BIN($A$1,8),1),8)),HEX2DEC($B$1)),HEX2DEC(BD376))),BD376)))))),HEX2DEC(IF(AND(BI378=3,BD370=0),DEC2HEX(_xlfn.BITXOR(BIN2DEC((RIGHT(HEX2BIN(BD377,8)&amp;LEFT(HEX2BIN($A$1,8),1),8))),HEX2DEC(BD377)),2),IF(AND(BI378=2,BD370=0),BIN2HEX(RIGHT(HEX2BIN(BD377,8)&amp;LEFT(HEX2BIN($A$1,8),1),8)),IF(AND(BI378=2,BD370=1),DEC2HEX(_xlfn.BITXOR(BIN2DEC(RIGHT(HEX2BIN(BD377,8)&amp;LEFT(HEX2BIN($A$1,8),1),8)),HEX2DEC($B$1))),IF(AND(BI378=3,BD370=1),DEC2HEX(_xlfn.BITXOR(_xlfn.BITXOR(BIN2DEC(RIGHT(HEX2BIN(BD377,8)&amp;LEFT(HEX2BIN($A$1,8),1),8)),HEX2DEC($B$1)),HEX2DEC(BD377))),BD377)))))),HEX2DEC(IF(AND(BJ378=3,BD371=0),DEC2HEX(_xlfn.BITXOR(BIN2DEC((RIGHT(HEX2BIN(BD378,8)&amp;LEFT(HEX2BIN($A$1,8),1),8))),HEX2DEC(BD378)),2),IF(AND(BJ378=2,BD371=0),BIN2HEX(RIGHT(HEX2BIN(BD378,8)&amp;LEFT(HEX2BIN($A$1,8),1),8)),IF(AND(BJ378=2,BD371=1),DEC2HEX(_xlfn.BITXOR(BIN2DEC(RIGHT(HEX2BIN(BD378,8)&amp;LEFT(HEX2BIN($A$1,8),1),8)),HEX2DEC($B$1))),IF(AND(BJ378=3,BD371=1),DEC2HEX(_xlfn.BITXOR(_xlfn.BITXOR(BIN2DEC(RIGHT(HEX2BIN(BD378,8)&amp;LEFT(HEX2BIN($A$1,8),1),8)),HEX2DEC($B$1)),HEX2DEC(BD378))),BD378)))))))</f>
        <v>DC</v>
      </c>
      <c r="BO378" s="44" t="str">
        <f>DEC2HEX(_xlfn.BITXOR(_xlfn.BITXOR(_xlfn.BITXOR(HEX2DEC(IF(AND(BG378=3,BE368=0),DEC2HEX(_xlfn.BITXOR(BIN2DEC((RIGHT(HEX2BIN(BE375,8)&amp;LEFT(HEX2BIN($A$1,8),1),8))),HEX2DEC(BE375)),2),IF(AND(BG378=2,BE368=0),BIN2HEX(RIGHT(HEX2BIN(BE375,8)&amp;LEFT(HEX2BIN($A$1,8),1),8)),IF(AND(BG378=2,BE368=1),DEC2HEX(_xlfn.BITXOR(BIN2DEC(RIGHT(HEX2BIN(BE375,8)&amp;LEFT(HEX2BIN($A$1,8),1),8)),HEX2DEC($B$1))),IF(AND(BG378=3,BE368=1),DEC2HEX(_xlfn.BITXOR(_xlfn.BITXOR(BIN2DEC(RIGHT(HEX2BIN(BE375,8)&amp;LEFT(HEX2BIN($A$1,8),1),8)),HEX2DEC($B$1)),HEX2DEC(BE375))),BE375))))),HEX2DEC(IF(AND(BH378=3,BE369=0),DEC2HEX(_xlfn.BITXOR(BIN2DEC((RIGHT(HEX2BIN(BE376,8)&amp;LEFT(HEX2BIN($A$1,8),1),8))),HEX2DEC(BE376)),2),IF(AND(BH378=2,BE369=0),BIN2HEX(RIGHT(HEX2BIN(BE376,8)&amp;LEFT(HEX2BIN($A$1,8),1),8)),IF(AND(BH378=2,BE369=1),DEC2HEX(_xlfn.BITXOR(BIN2DEC(RIGHT(HEX2BIN(BE376,8)&amp;LEFT(HEX2BIN($A$1,8),1),8)),HEX2DEC($B$1))),IF(AND(BH378=3,BE369=1),DEC2HEX(_xlfn.BITXOR(_xlfn.BITXOR(BIN2DEC(RIGHT(HEX2BIN(BE376,8)&amp;LEFT(HEX2BIN($A$1,8),1),8)),HEX2DEC($B$1)),HEX2DEC(BE376))),BE376)))))),HEX2DEC(IF(AND(BI378=3,BE370=0),DEC2HEX(_xlfn.BITXOR(BIN2DEC((RIGHT(HEX2BIN(BE377,8)&amp;LEFT(HEX2BIN($A$1,8),1),8))),HEX2DEC(BE377)),2),IF(AND(BI378=2,BE370=0),BIN2HEX(RIGHT(HEX2BIN(BE377,8)&amp;LEFT(HEX2BIN($A$1,8),1),8)),IF(AND(BI378=2,BE370=1),DEC2HEX(_xlfn.BITXOR(BIN2DEC(RIGHT(HEX2BIN(BE377,8)&amp;LEFT(HEX2BIN($A$1,8),1),8)),HEX2DEC($B$1))),IF(AND(BI378=3,BE370=1),DEC2HEX(_xlfn.BITXOR(_xlfn.BITXOR(BIN2DEC(RIGHT(HEX2BIN(BE377,8)&amp;LEFT(HEX2BIN($A$1,8),1),8)),HEX2DEC($B$1)),HEX2DEC(BE377))),BE377)))))),HEX2DEC(IF(AND(BJ378=3,BE371=0),DEC2HEX(_xlfn.BITXOR(BIN2DEC((RIGHT(HEX2BIN(BE378,8)&amp;LEFT(HEX2BIN($A$1,8),1),8))),HEX2DEC(BE378)),2),IF(AND(BJ378=2,BE371=0),BIN2HEX(RIGHT(HEX2BIN(BE378,8)&amp;LEFT(HEX2BIN($A$1,8),1),8)),IF(AND(BJ378=2,BE371=1),DEC2HEX(_xlfn.BITXOR(BIN2DEC(RIGHT(HEX2BIN(BE378,8)&amp;LEFT(HEX2BIN($A$1,8),1),8)),HEX2DEC($B$1))),IF(AND(BJ378=3,BE371=1),DEC2HEX(_xlfn.BITXOR(_xlfn.BITXOR(BIN2DEC(RIGHT(HEX2BIN(BE378,8)&amp;LEFT(HEX2BIN($A$1,8),1),8)),HEX2DEC($B$1)),HEX2DEC(BE378))),BE378)))))))</f>
        <v>98</v>
      </c>
      <c r="BS378" s="1">
        <v>58</v>
      </c>
      <c r="BT378" s="1" t="s">
        <v>194</v>
      </c>
      <c r="BU378" s="1" t="s">
        <v>194</v>
      </c>
      <c r="BV378" s="1" t="s">
        <v>73</v>
      </c>
    </row>
    <row r="379" spans="2:74" x14ac:dyDescent="0.25">
      <c r="B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BB379" s="10"/>
    </row>
    <row r="380" spans="2:74" x14ac:dyDescent="0.25">
      <c r="B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</row>
    <row r="381" spans="2:74" x14ac:dyDescent="0.25">
      <c r="B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</row>
    <row r="382" spans="2:74" x14ac:dyDescent="0.25">
      <c r="B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</row>
    <row r="383" spans="2:74" x14ac:dyDescent="0.25">
      <c r="B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</row>
    <row r="384" spans="2:74" x14ac:dyDescent="0.25">
      <c r="B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</row>
    <row r="385" spans="2:31" x14ac:dyDescent="0.25">
      <c r="B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</row>
    <row r="386" spans="2:31" x14ac:dyDescent="0.25">
      <c r="B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</row>
    <row r="387" spans="2:31" x14ac:dyDescent="0.25">
      <c r="B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</row>
    <row r="388" spans="2:31" x14ac:dyDescent="0.25">
      <c r="B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</row>
    <row r="389" spans="2:31" x14ac:dyDescent="0.25">
      <c r="B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</row>
    <row r="390" spans="2:31" x14ac:dyDescent="0.25">
      <c r="B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</row>
    <row r="391" spans="2:31" x14ac:dyDescent="0.25">
      <c r="B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</row>
    <row r="392" spans="2:31" x14ac:dyDescent="0.25">
      <c r="B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</row>
    <row r="393" spans="2:31" x14ac:dyDescent="0.25">
      <c r="B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</row>
    <row r="394" spans="2:31" x14ac:dyDescent="0.25">
      <c r="B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</row>
    <row r="395" spans="2:31" x14ac:dyDescent="0.25">
      <c r="B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</row>
    <row r="396" spans="2:31" x14ac:dyDescent="0.25">
      <c r="B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</row>
    <row r="397" spans="2:31" x14ac:dyDescent="0.25">
      <c r="B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</row>
    <row r="398" spans="2:31" x14ac:dyDescent="0.25">
      <c r="B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</row>
    <row r="399" spans="2:31" x14ac:dyDescent="0.25">
      <c r="B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</row>
    <row r="400" spans="2:31" x14ac:dyDescent="0.25">
      <c r="B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</row>
    <row r="401" spans="2:67" x14ac:dyDescent="0.25">
      <c r="B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</row>
    <row r="402" spans="2:67" x14ac:dyDescent="0.25">
      <c r="B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</row>
    <row r="403" spans="2:67" x14ac:dyDescent="0.25">
      <c r="B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</row>
    <row r="404" spans="2:67" x14ac:dyDescent="0.25">
      <c r="B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</row>
    <row r="405" spans="2:67" x14ac:dyDescent="0.25">
      <c r="B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</row>
    <row r="406" spans="2:67" x14ac:dyDescent="0.25">
      <c r="B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BG406" s="36"/>
      <c r="BH406" s="36"/>
      <c r="BI406" s="36"/>
      <c r="BJ406" t="s">
        <v>179</v>
      </c>
      <c r="BK406"/>
      <c r="BL406" t="s">
        <v>181</v>
      </c>
      <c r="BM406" t="s">
        <v>182</v>
      </c>
      <c r="BN406" t="s">
        <v>180</v>
      </c>
      <c r="BO406" s="36"/>
    </row>
    <row r="407" spans="2:67" x14ac:dyDescent="0.25">
      <c r="B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BG407" s="36"/>
      <c r="BH407" s="36"/>
      <c r="BI407" s="36"/>
      <c r="BJ407" t="str">
        <f>BIN2HEX(RIGHT(HEX2BIN(BA425,8)&amp;LEFT(HEX2BIN($A$1,8),1),8))</f>
        <v>0</v>
      </c>
      <c r="BK407"/>
      <c r="BL407" t="str">
        <f>DEC2HEX(_xlfn.BITXOR(BIN2DEC(RIGHT(HEX2BIN(BC432,8)&amp;LEFT(HEX2BIN($A$1,8),1),8)),HEX2DEC($B$1)))</f>
        <v>1B</v>
      </c>
      <c r="BM407" t="str">
        <f>DEC2HEX(_xlfn.BITXOR(_xlfn.BITXOR(BIN2DEC(RIGHT(HEX2BIN(BC414,8)&amp;LEFT(HEX2BIN($A$1,8),1),8)),HEX2DEC($B$1)),HEX2DEC(BC414)))</f>
        <v>1B</v>
      </c>
      <c r="BN407" t="str">
        <f>DEC2HEX(_xlfn.BITXOR(BIN2DEC((RIGHT(HEX2BIN(BA426,8)&amp;LEFT(HEX2BIN($A$1,8),1),8))),HEX2DEC(BA426)),2)</f>
        <v>00</v>
      </c>
      <c r="BO407" s="36"/>
    </row>
    <row r="408" spans="2:67" x14ac:dyDescent="0.25">
      <c r="B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BG408" s="36"/>
      <c r="BH408" s="36"/>
      <c r="BI408" s="36"/>
      <c r="BJ408" s="36"/>
      <c r="BK408" s="36"/>
      <c r="BL408" s="36"/>
      <c r="BM408" s="36"/>
      <c r="BN408" s="36"/>
      <c r="BO408" s="36"/>
    </row>
    <row r="409" spans="2:67" x14ac:dyDescent="0.25">
      <c r="B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BB409" s="43"/>
      <c r="BC409" s="43"/>
      <c r="BD409" s="43"/>
      <c r="BE409" s="43"/>
      <c r="BG409" s="36"/>
      <c r="BH409" s="36"/>
      <c r="BI409" s="36"/>
      <c r="BJ409" s="36"/>
      <c r="BK409" s="36"/>
      <c r="BL409" s="36"/>
      <c r="BM409" s="36"/>
      <c r="BN409" s="36"/>
      <c r="BO409" s="36"/>
    </row>
    <row r="410" spans="2:67" x14ac:dyDescent="0.25">
      <c r="B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BB410" s="75">
        <f>IF(BIN2DEC(LEFT(HEX2BIN(BB417,8),1))=0,0,1)</f>
        <v>1</v>
      </c>
      <c r="BC410" s="75">
        <f>IF(BIN2DEC(LEFT(HEX2BIN(BC417,8),1))=0,0,1)</f>
        <v>1</v>
      </c>
      <c r="BD410" s="75">
        <f>IF(BIN2DEC(LEFT(HEX2BIN(BD417,8),1))=0,0,1)</f>
        <v>0</v>
      </c>
      <c r="BE410" s="75">
        <f>IF(BIN2DEC(LEFT(HEX2BIN(BE417,8),1))=0,0,1)</f>
        <v>0</v>
      </c>
      <c r="BF410" s="43"/>
      <c r="BG410" s="43"/>
      <c r="BH410" s="43"/>
      <c r="BI410" s="43"/>
      <c r="BJ410" s="43"/>
      <c r="BK410" s="36"/>
      <c r="BL410" s="36" t="s">
        <v>215</v>
      </c>
      <c r="BM410" s="36"/>
      <c r="BN410" s="36"/>
      <c r="BO410" s="36"/>
    </row>
    <row r="411" spans="2:67" x14ac:dyDescent="0.25">
      <c r="B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BB411" s="75">
        <f t="shared" ref="BB411:BE411" si="236">IF(BIN2DEC(LEFT(HEX2BIN(BB418,8),1))=0,0,1)</f>
        <v>1</v>
      </c>
      <c r="BC411" s="75">
        <f t="shared" si="236"/>
        <v>0</v>
      </c>
      <c r="BD411" s="75">
        <f t="shared" si="236"/>
        <v>1</v>
      </c>
      <c r="BE411" s="75">
        <f t="shared" si="236"/>
        <v>1</v>
      </c>
      <c r="BF411" s="43"/>
      <c r="BG411" s="43"/>
      <c r="BH411" s="43"/>
      <c r="BI411" s="43"/>
      <c r="BJ411" s="43"/>
      <c r="BK411" s="36"/>
      <c r="BL411" s="36" t="str">
        <f>DEC2HEX(_xlfn.BITXOR(_xlfn.BITXOR(_xlfn.BITXOR(HEX2DEC(BK414),HEX2DEC(BL414)),HEX2DEC(BM414)),HEX2DEC(BN414)))</f>
        <v>2F</v>
      </c>
      <c r="BM411" s="36"/>
      <c r="BN411" s="36"/>
      <c r="BO411" s="36"/>
    </row>
    <row r="412" spans="2:67" x14ac:dyDescent="0.25">
      <c r="B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BB412" s="75">
        <f t="shared" ref="BB412:BE412" si="237">IF(BIN2DEC(LEFT(HEX2BIN(BB419,8),1))=0,0,1)</f>
        <v>0</v>
      </c>
      <c r="BC412" s="75">
        <f t="shared" si="237"/>
        <v>0</v>
      </c>
      <c r="BD412" s="75">
        <f t="shared" si="237"/>
        <v>0</v>
      </c>
      <c r="BE412" s="75">
        <f t="shared" si="237"/>
        <v>1</v>
      </c>
      <c r="BF412" s="43"/>
      <c r="BG412" s="43"/>
      <c r="BH412" s="43"/>
      <c r="BI412" s="43"/>
      <c r="BJ412" s="43"/>
      <c r="BK412" s="36"/>
      <c r="BL412" s="36"/>
      <c r="BM412" s="36"/>
      <c r="BN412" s="36"/>
      <c r="BO412" s="36"/>
    </row>
    <row r="413" spans="2:67" x14ac:dyDescent="0.25">
      <c r="B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BB413" s="75">
        <f t="shared" ref="BB413:BE413" si="238">IF(BIN2DEC(LEFT(HEX2BIN(BB420,8),1))=0,0,1)</f>
        <v>0</v>
      </c>
      <c r="BC413" s="75">
        <f t="shared" si="238"/>
        <v>0</v>
      </c>
      <c r="BD413" s="75">
        <f t="shared" si="238"/>
        <v>0</v>
      </c>
      <c r="BE413" s="75">
        <f t="shared" si="238"/>
        <v>1</v>
      </c>
      <c r="BF413" s="43"/>
      <c r="BG413" s="43"/>
      <c r="BH413" s="43"/>
      <c r="BI413" s="43"/>
      <c r="BJ413" s="43"/>
      <c r="BK413" s="36"/>
      <c r="BL413" s="36"/>
      <c r="BM413" s="36"/>
      <c r="BN413" s="36"/>
      <c r="BO413" s="36"/>
    </row>
    <row r="414" spans="2:67" ht="15.75" x14ac:dyDescent="0.25">
      <c r="B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H414" s="76" t="s">
        <v>282</v>
      </c>
      <c r="AW414" s="116" t="s">
        <v>236</v>
      </c>
      <c r="AX414" s="116"/>
      <c r="AY414" s="116"/>
      <c r="AZ414" s="116"/>
      <c r="BB414" s="43"/>
      <c r="BC414" s="43"/>
      <c r="BD414" s="43"/>
      <c r="BE414" s="43"/>
      <c r="BF414" s="43"/>
      <c r="BG414" s="43"/>
      <c r="BH414" s="43"/>
      <c r="BI414" s="43"/>
      <c r="BJ414" s="43"/>
      <c r="BK414" t="str">
        <f>DEC2HEX(_xlfn.BITXOR(BIN2DEC((RIGHT(HEX2BIN(BE417,8)&amp;LEFT(HEX2BIN($A$1,8),1),8))),HEX2DEC(BE417)),2)</f>
        <v>39</v>
      </c>
      <c r="BL414" t="str">
        <f>BE418</f>
        <v>A5</v>
      </c>
      <c r="BM414">
        <f>BE419</f>
        <v>96</v>
      </c>
      <c r="BN414" t="str">
        <f>DEC2HEX(_xlfn.BITXOR(BIN2DEC(RIGHT(HEX2BIN(BE420,8)&amp;LEFT(HEX2BIN($A$1,8),1),8)),HEX2DEC($B$1)))</f>
        <v>25</v>
      </c>
      <c r="BO414" s="36"/>
    </row>
    <row r="415" spans="2:67" x14ac:dyDescent="0.25">
      <c r="B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BB415" s="43"/>
      <c r="BC415" s="43"/>
      <c r="BD415" s="43"/>
      <c r="BE415" s="43"/>
      <c r="BF415" s="43"/>
      <c r="BG415" s="43"/>
      <c r="BH415" s="43"/>
      <c r="BI415" s="43"/>
      <c r="BJ415" s="43"/>
      <c r="BK415" s="36"/>
      <c r="BL415" s="36"/>
      <c r="BM415" s="36"/>
      <c r="BN415" s="36"/>
      <c r="BO415" s="36"/>
    </row>
    <row r="416" spans="2:67" x14ac:dyDescent="0.25">
      <c r="B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H416" s="116" t="s">
        <v>254</v>
      </c>
      <c r="AI416" s="116"/>
      <c r="AJ416" s="116"/>
      <c r="AK416" s="116"/>
      <c r="AR416" s="116" t="s">
        <v>221</v>
      </c>
      <c r="AS416" s="116"/>
      <c r="AT416" s="116"/>
      <c r="AU416" s="116"/>
      <c r="AW416" s="116" t="s">
        <v>222</v>
      </c>
      <c r="AX416" s="116"/>
      <c r="AY416" s="116"/>
      <c r="AZ416" s="116"/>
      <c r="BB416" s="118" t="s">
        <v>227</v>
      </c>
      <c r="BC416" s="118"/>
      <c r="BD416" s="118"/>
      <c r="BE416" s="118"/>
      <c r="BF416" s="43"/>
      <c r="BG416" s="43"/>
      <c r="BH416" s="43"/>
      <c r="BI416" s="43"/>
      <c r="BJ416" s="43"/>
      <c r="BK416" s="36"/>
      <c r="BL416" s="116" t="s">
        <v>230</v>
      </c>
      <c r="BM416" s="116"/>
      <c r="BN416" s="116"/>
      <c r="BO416" s="116"/>
    </row>
    <row r="417" spans="2:74" x14ac:dyDescent="0.25">
      <c r="B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H417" s="14" t="str">
        <f>H27</f>
        <v>19</v>
      </c>
      <c r="AI417" s="14" t="str">
        <f>K27</f>
        <v>8B</v>
      </c>
      <c r="AJ417" s="14" t="str">
        <f>N27</f>
        <v>3</v>
      </c>
      <c r="AK417" s="14" t="str">
        <f>Q27</f>
        <v>2B</v>
      </c>
      <c r="AM417" s="1" t="str">
        <f>BL375</f>
        <v>A9</v>
      </c>
      <c r="AN417" s="36" t="str">
        <f t="shared" ref="AN417:AP420" si="239">BM375</f>
        <v>B1</v>
      </c>
      <c r="AO417" s="36" t="str">
        <f t="shared" si="239"/>
        <v>C0</v>
      </c>
      <c r="AP417" s="36" t="str">
        <f t="shared" si="239"/>
        <v>AC</v>
      </c>
      <c r="AR417" s="36" t="str">
        <f>DEC2HEX(_xlfn.BITXOR(HEX2DEC(AH417),HEX2DEC(AM417)))</f>
        <v>B0</v>
      </c>
      <c r="AS417" s="36" t="str">
        <f t="shared" ref="AS417:AS420" si="240">DEC2HEX(_xlfn.BITXOR(HEX2DEC(AI417),HEX2DEC(AN417)))</f>
        <v>3A</v>
      </c>
      <c r="AT417" s="36" t="str">
        <f t="shared" ref="AT417:AT420" si="241">DEC2HEX(_xlfn.BITXOR(HEX2DEC(AJ417),HEX2DEC(AO417)))</f>
        <v>C3</v>
      </c>
      <c r="AU417" s="36" t="str">
        <f t="shared" ref="AU417:AU420" si="242">DEC2HEX(_xlfn.BITXOR(HEX2DEC(AK417),HEX2DEC(AP417)))</f>
        <v>87</v>
      </c>
      <c r="AW417" s="1" t="s">
        <v>152</v>
      </c>
      <c r="AX417" s="1">
        <v>80</v>
      </c>
      <c r="AY417" s="1" t="s">
        <v>96</v>
      </c>
      <c r="AZ417" s="1">
        <v>17</v>
      </c>
      <c r="BB417" s="43" t="str">
        <f>AW417</f>
        <v>E7</v>
      </c>
      <c r="BC417" s="43">
        <f t="shared" ref="BC417" si="243">AX417</f>
        <v>80</v>
      </c>
      <c r="BD417" s="43" t="str">
        <f t="shared" ref="BD417" si="244">AY417</f>
        <v>2E</v>
      </c>
      <c r="BE417" s="28">
        <f t="shared" ref="BE417" si="245">AZ417</f>
        <v>17</v>
      </c>
      <c r="BF417" s="43"/>
      <c r="BG417" s="34">
        <v>2</v>
      </c>
      <c r="BH417" s="34">
        <v>3</v>
      </c>
      <c r="BI417" s="34">
        <v>1</v>
      </c>
      <c r="BJ417" s="34">
        <v>1</v>
      </c>
      <c r="BK417" s="36"/>
      <c r="BL417" s="44" t="str">
        <f>DEC2HEX(_xlfn.BITXOR(_xlfn.BITXOR(_xlfn.BITXOR(HEX2DEC(IF(AND(BG417=3,BB410=0),DEC2HEX(_xlfn.BITXOR(BIN2DEC((RIGHT(HEX2BIN(BB417,8)&amp;LEFT(HEX2BIN($A$1,8),1),8))),HEX2DEC(BB417)),2),IF(AND(BG417=2,BB410=0),BIN2HEX(RIGHT(HEX2BIN(BB417,8)&amp;LEFT(HEX2BIN($A$1,8),1),8)),IF(AND(BG417=2,BB410=1),DEC2HEX(_xlfn.BITXOR(BIN2DEC(RIGHT(HEX2BIN(BB417,8)&amp;LEFT(HEX2BIN($A$1,8),1),8)),HEX2DEC($B$1))),IF(AND(BG417=3,BB410=1),DEC2HEX(_xlfn.BITXOR(_xlfn.BITXOR(BIN2DEC(RIGHT(HEX2BIN(BB417,8)&amp;LEFT(HEX2BIN($A$1,8),1),8)),HEX2DEC($B$1)),HEX2DEC(BB417))),BB417))))),HEX2DEC(IF(AND(BH417=3,BB411=0),DEC2HEX(_xlfn.BITXOR(BIN2DEC((RIGHT(HEX2BIN(BB418,8)&amp;LEFT(HEX2BIN($A$1,8),1),8))),HEX2DEC(BB418)),2),IF(AND(BH417=2,BB411=0),BIN2HEX(RIGHT(HEX2BIN(BB418,8)&amp;LEFT(HEX2BIN($A$1,8),1),8)),IF(AND(BH417=2,BB411=1),DEC2HEX(_xlfn.BITXOR(BIN2DEC(RIGHT(HEX2BIN(BB418,8)&amp;LEFT(HEX2BIN($A$1,8),1),8)),HEX2DEC($B$1))),IF(AND(BH417=3,BB411=1),DEC2HEX(_xlfn.BITXOR(_xlfn.BITXOR(BIN2DEC(RIGHT(HEX2BIN(BB418,8)&amp;LEFT(HEX2BIN($A$1,8),1),8)),HEX2DEC($B$1)),HEX2DEC(BB418))),BB418)))))),HEX2DEC(IF(AND(BI417=3,BB412=0),DEC2HEX(_xlfn.BITXOR(BIN2DEC((RIGHT(HEX2BIN(BB419,8)&amp;LEFT(HEX2BIN($A$1,8),1),8))),HEX2DEC(BB419)),2),IF(AND(BI417=2,BB412=0),BIN2HEX(RIGHT(HEX2BIN(BB419,8)&amp;LEFT(HEX2BIN($A$1,8),1),8)),IF(AND(BI417=2,BB412=1),DEC2HEX(_xlfn.BITXOR(BIN2DEC(RIGHT(HEX2BIN(BB419,8)&amp;LEFT(HEX2BIN($A$1,8),1),8)),HEX2DEC($B$1))),IF(AND(BI417=3,BB412=1),DEC2HEX(_xlfn.BITXOR(_xlfn.BITXOR(BIN2DEC(RIGHT(HEX2BIN(BB419,8)&amp;LEFT(HEX2BIN($A$1,8),1),8)),HEX2DEC($B$1)),HEX2DEC(BB419))),BB419)))))),HEX2DEC(IF(AND(BJ417=3,BB413=0),DEC2HEX(_xlfn.BITXOR(BIN2DEC((RIGHT(HEX2BIN(BB420,8)&amp;LEFT(HEX2BIN($A$1,8),1),8))),HEX2DEC(BB420)),2),IF(AND(BJ417=2,BB413=0),BIN2HEX(RIGHT(HEX2BIN(BB420,8)&amp;LEFT(HEX2BIN($A$1,8),1),8)),IF(AND(BJ417=2,BB413=1),DEC2HEX(_xlfn.BITXOR(BIN2DEC(RIGHT(HEX2BIN(BB420,8)&amp;LEFT(HEX2BIN($A$1,8),1),8)),HEX2DEC($B$1))),IF(AND(BJ417=3,BB413=1),DEC2HEX(_xlfn.BITXOR(_xlfn.BITXOR(BIN2DEC(RIGHT(HEX2BIN(BB420,8)&amp;LEFT(HEX2BIN($A$1,8),1),8)),HEX2DEC($B$1)),HEX2DEC(BB420))),BB420)))))))</f>
        <v>C</v>
      </c>
      <c r="BM417" s="44" t="str">
        <f>DEC2HEX(_xlfn.BITXOR(_xlfn.BITXOR(_xlfn.BITXOR(HEX2DEC(IF(AND(BG417=3,BC410=0),DEC2HEX(_xlfn.BITXOR(BIN2DEC((RIGHT(HEX2BIN(BC417,8)&amp;LEFT(HEX2BIN($A$1,8),1),8))),HEX2DEC(BC417)),2),IF(AND(BG417=2,BC410=0),BIN2HEX(RIGHT(HEX2BIN(BC417,8)&amp;LEFT(HEX2BIN($A$1,8),1),8)),IF(AND(BG417=2,BC410=1),DEC2HEX(_xlfn.BITXOR(BIN2DEC(RIGHT(HEX2BIN(BC417,8)&amp;LEFT(HEX2BIN($A$1,8),1),8)),HEX2DEC($B$1))),IF(AND(BG417=3,BC410=1),DEC2HEX(_xlfn.BITXOR(_xlfn.BITXOR(BIN2DEC(RIGHT(HEX2BIN(BC417,8)&amp;LEFT(HEX2BIN($A$1,8),1),8)),HEX2DEC($B$1)),HEX2DEC(BC417))),BC417))))),HEX2DEC(IF(AND(BH417=3,BC411=0),DEC2HEX(_xlfn.BITXOR(BIN2DEC((RIGHT(HEX2BIN(BC418,8)&amp;LEFT(HEX2BIN($A$1,8),1),8))),HEX2DEC(BC418)),2),IF(AND(BH417=2,BC411=0),BIN2HEX(RIGHT(HEX2BIN(BC418,8)&amp;LEFT(HEX2BIN($A$1,8),1),8)),IF(AND(BH417=2,BC411=1),DEC2HEX(_xlfn.BITXOR(BIN2DEC(RIGHT(HEX2BIN(BC418,8)&amp;LEFT(HEX2BIN($A$1,8),1),8)),HEX2DEC($B$1))),IF(AND(BH417=3,BC411=1),DEC2HEX(_xlfn.BITXOR(_xlfn.BITXOR(BIN2DEC(RIGHT(HEX2BIN(BC418,8)&amp;LEFT(HEX2BIN($A$1,8),1),8)),HEX2DEC($B$1)),HEX2DEC(BC418))),BC418)))))),HEX2DEC(IF(AND(BI417=3,BC412=0),DEC2HEX(_xlfn.BITXOR(BIN2DEC((RIGHT(HEX2BIN(BC419,8)&amp;LEFT(HEX2BIN($A$1,8),1),8))),HEX2DEC(BC419)),2),IF(AND(BI417=2,BC412=0),BIN2HEX(RIGHT(HEX2BIN(BC419,8)&amp;LEFT(HEX2BIN($A$1,8),1),8)),IF(AND(BI417=2,BC412=1),DEC2HEX(_xlfn.BITXOR(BIN2DEC(RIGHT(HEX2BIN(BC419,8)&amp;LEFT(HEX2BIN($A$1,8),1),8)),HEX2DEC($B$1))),IF(AND(BI417=3,BC412=1),DEC2HEX(_xlfn.BITXOR(_xlfn.BITXOR(BIN2DEC(RIGHT(HEX2BIN(BC419,8)&amp;LEFT(HEX2BIN($A$1,8),1),8)),HEX2DEC($B$1)),HEX2DEC(BC419))),BC419)))))),HEX2DEC(IF(AND(BJ417=3,BC413=0),DEC2HEX(_xlfn.BITXOR(BIN2DEC((RIGHT(HEX2BIN(BC420,8)&amp;LEFT(HEX2BIN($A$1,8),1),8))),HEX2DEC(BC420)),2),IF(AND(BJ417=2,BC413=0),BIN2HEX(RIGHT(HEX2BIN(BC420,8)&amp;LEFT(HEX2BIN($A$1,8),1),8)),IF(AND(BJ417=2,BC413=1),DEC2HEX(_xlfn.BITXOR(BIN2DEC(RIGHT(HEX2BIN(BC420,8)&amp;LEFT(HEX2BIN($A$1,8),1),8)),HEX2DEC($B$1))),IF(AND(BJ417=3,BC413=1),DEC2HEX(_xlfn.BITXOR(_xlfn.BITXOR(BIN2DEC(RIGHT(HEX2BIN(BC420,8)&amp;LEFT(HEX2BIN($A$1,8),1),8)),HEX2DEC($B$1)),HEX2DEC(BC420))),BC420)))))))</f>
        <v>8E</v>
      </c>
      <c r="BN417" s="41" t="str">
        <f>DEC2HEX(_xlfn.BITXOR(_xlfn.BITXOR(_xlfn.BITXOR(HEX2DEC(IF(AND(BG417=3,BD410=0),DEC2HEX(_xlfn.BITXOR(BIN2DEC((RIGHT(HEX2BIN(BD417,8)&amp;LEFT(HEX2BIN($A$1,8),1),8))),HEX2DEC(BD417)),2),IF(AND(BG417=2,BD410=0),BIN2HEX(RIGHT(HEX2BIN(BD417,8)&amp;LEFT(HEX2BIN($A$1,8),1),8)),IF(AND(BG417=2,BD410=1),DEC2HEX(_xlfn.BITXOR(BIN2DEC(RIGHT(HEX2BIN(BD417,8)&amp;LEFT(HEX2BIN($A$1,8),1),8)),HEX2DEC($B$1))),IF(AND(BG417=3,BD410=1),DEC2HEX(_xlfn.BITXOR(_xlfn.BITXOR(BIN2DEC(RIGHT(HEX2BIN(BD417,8)&amp;LEFT(HEX2BIN($A$1,8),1),8)),HEX2DEC($B$1)),HEX2DEC(BD417))),BD417))))),HEX2DEC(IF(AND(BH417=3,BD411=0),DEC2HEX(_xlfn.BITXOR(BIN2DEC((RIGHT(HEX2BIN(BD418,8)&amp;LEFT(HEX2BIN($A$1,8),1),8))),HEX2DEC(BD418)),2),IF(AND(BH417=2,BD411=0),BIN2HEX(RIGHT(HEX2BIN(BD418,8)&amp;LEFT(HEX2BIN($A$1,8),1),8)),IF(AND(BH417=2,BD411=1),DEC2HEX(_xlfn.BITXOR(BIN2DEC(RIGHT(HEX2BIN(BD418,8)&amp;LEFT(HEX2BIN($A$1,8),1),8)),HEX2DEC($B$1))),IF(AND(BH417=3,BD411=1),DEC2HEX(_xlfn.BITXOR(_xlfn.BITXOR(BIN2DEC(RIGHT(HEX2BIN(BD418,8)&amp;LEFT(HEX2BIN($A$1,8),1),8)),HEX2DEC($B$1)),HEX2DEC(BD418))),BD418)))))),HEX2DEC(IF(AND(BI417=3,BD412=0),DEC2HEX(_xlfn.BITXOR(BIN2DEC((RIGHT(HEX2BIN(BD419,8)&amp;LEFT(HEX2BIN($A$1,8),1),8))),HEX2DEC(BD419)),2),IF(AND(BI417=2,BD412=0),BIN2HEX(RIGHT(HEX2BIN(BD419,8)&amp;LEFT(HEX2BIN($A$1,8),1),8)),IF(AND(BI417=2,BD412=1),DEC2HEX(_xlfn.BITXOR(BIN2DEC(RIGHT(HEX2BIN(BD419,8)&amp;LEFT(HEX2BIN($A$1,8),1),8)),HEX2DEC($B$1))),IF(AND(BI417=3,BD412=1),DEC2HEX(_xlfn.BITXOR(_xlfn.BITXOR(BIN2DEC(RIGHT(HEX2BIN(BD419,8)&amp;LEFT(HEX2BIN($A$1,8),1),8)),HEX2DEC($B$1)),HEX2DEC(BD419))),BD419)))))),HEX2DEC(IF(AND(BJ417=3,BD413=0),DEC2HEX(_xlfn.BITXOR(BIN2DEC((RIGHT(HEX2BIN(BD420,8)&amp;LEFT(HEX2BIN($A$1,8),1),8))),HEX2DEC(BD420)),2),IF(AND(BJ417=2,BD413=0),BIN2HEX(RIGHT(HEX2BIN(BD420,8)&amp;LEFT(HEX2BIN($A$1,8),1),8)),IF(AND(BJ417=2,BD413=1),DEC2HEX(_xlfn.BITXOR(BIN2DEC(RIGHT(HEX2BIN(BD420,8)&amp;LEFT(HEX2BIN($A$1,8),1),8)),HEX2DEC($B$1))),IF(AND(BJ417=3,BD413=1),DEC2HEX(_xlfn.BITXOR(_xlfn.BITXOR(BIN2DEC(RIGHT(HEX2BIN(BD420,8)&amp;LEFT(HEX2BIN($A$1,8),1),8)),HEX2DEC($B$1)),HEX2DEC(BD420))),BD420)))))))</f>
        <v>DB</v>
      </c>
      <c r="BO417" s="44" t="str">
        <f>DEC2HEX(_xlfn.BITXOR(_xlfn.BITXOR(_xlfn.BITXOR(HEX2DEC(IF(AND(BG417=3,BE410=0),DEC2HEX(_xlfn.BITXOR(BIN2DEC((RIGHT(HEX2BIN(BE417,8)&amp;LEFT(HEX2BIN($A$1,8),1),8))),HEX2DEC(BE417)),2),IF(AND(BG417=2,BE410=0),BIN2HEX(RIGHT(HEX2BIN(BE417,8)&amp;LEFT(HEX2BIN($A$1,8),1),8)),IF(AND(BG417=2,BE410=1),DEC2HEX(_xlfn.BITXOR(BIN2DEC(RIGHT(HEX2BIN(BE417,8)&amp;LEFT(HEX2BIN($A$1,8),1),8)),HEX2DEC($B$1))),IF(AND(BG417=3,BE410=1),DEC2HEX(_xlfn.BITXOR(_xlfn.BITXOR(BIN2DEC(RIGHT(HEX2BIN(BE417,8)&amp;LEFT(HEX2BIN($A$1,8),1),8)),HEX2DEC($B$1)),HEX2DEC(BE417))),BE417))))),HEX2DEC(IF(AND(BH417=3,BE411=0),DEC2HEX(_xlfn.BITXOR(BIN2DEC((RIGHT(HEX2BIN(BE418,8)&amp;LEFT(HEX2BIN($A$1,8),1),8))),HEX2DEC(BE418)),2),IF(AND(BH417=2,BE411=0),BIN2HEX(RIGHT(HEX2BIN(BE418,8)&amp;LEFT(HEX2BIN($A$1,8),1),8)),IF(AND(BH417=2,BE411=1),DEC2HEX(_xlfn.BITXOR(BIN2DEC(RIGHT(HEX2BIN(BE418,8)&amp;LEFT(HEX2BIN($A$1,8),1),8)),HEX2DEC($B$1))),IF(AND(BH417=3,BE411=1),DEC2HEX(_xlfn.BITXOR(_xlfn.BITXOR(BIN2DEC(RIGHT(HEX2BIN(BE418,8)&amp;LEFT(HEX2BIN($A$1,8),1),8)),HEX2DEC($B$1)),HEX2DEC(BE418))),BE418)))))),HEX2DEC(IF(AND(BI417=3,BE412=0),DEC2HEX(_xlfn.BITXOR(BIN2DEC((RIGHT(HEX2BIN(BE419,8)&amp;LEFT(HEX2BIN($A$1,8),1),8))),HEX2DEC(BE419)),2),IF(AND(BI417=2,BE412=0),BIN2HEX(RIGHT(HEX2BIN(BE419,8)&amp;LEFT(HEX2BIN($A$1,8),1),8)),IF(AND(BI417=2,BE412=1),DEC2HEX(_xlfn.BITXOR(BIN2DEC(RIGHT(HEX2BIN(BE419,8)&amp;LEFT(HEX2BIN($A$1,8),1),8)),HEX2DEC($B$1))),IF(AND(BI417=3,BE412=1),DEC2HEX(_xlfn.BITXOR(_xlfn.BITXOR(BIN2DEC(RIGHT(HEX2BIN(BE419,8)&amp;LEFT(HEX2BIN($A$1,8),1),8)),HEX2DEC($B$1)),HEX2DEC(BE419))),BE419)))))),HEX2DEC(IF(AND(BJ417=3,BE413=0),DEC2HEX(_xlfn.BITXOR(BIN2DEC((RIGHT(HEX2BIN(BE420,8)&amp;LEFT(HEX2BIN($A$1,8),1),8))),HEX2DEC(BE420)),2),IF(AND(BJ417=2,BE413=0),BIN2HEX(RIGHT(HEX2BIN(BE420,8)&amp;LEFT(HEX2BIN($A$1,8),1),8)),IF(AND(BJ417=2,BE413=1),DEC2HEX(_xlfn.BITXOR(BIN2DEC(RIGHT(HEX2BIN(BE420,8)&amp;LEFT(HEX2BIN($A$1,8),1),8)),HEX2DEC($B$1))),IF(AND(BJ417=3,BE413=1),DEC2HEX(_xlfn.BITXOR(_xlfn.BITXOR(BIN2DEC(RIGHT(HEX2BIN(BE420,8)&amp;LEFT(HEX2BIN($A$1,8),1),8)),HEX2DEC($B$1)),HEX2DEC(BE420))),BE420)))))))</f>
        <v>D3</v>
      </c>
      <c r="BS417" s="44" t="s">
        <v>204</v>
      </c>
      <c r="BT417" s="44" t="s">
        <v>108</v>
      </c>
      <c r="BU417" s="44" t="s">
        <v>144</v>
      </c>
      <c r="BV417" s="44" t="s">
        <v>80</v>
      </c>
    </row>
    <row r="418" spans="2:74" x14ac:dyDescent="0.25">
      <c r="B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H418" s="14" t="str">
        <f t="shared" ref="AH418:AH420" si="246">H28</f>
        <v>33</v>
      </c>
      <c r="AI418" s="14" t="str">
        <f t="shared" ref="AI418:AI420" si="247">K28</f>
        <v>AD</v>
      </c>
      <c r="AJ418" s="14" t="str">
        <f t="shared" ref="AJ418:AJ420" si="248">N28</f>
        <v>A7</v>
      </c>
      <c r="AK418" s="14" t="str">
        <f t="shared" ref="AK418:AK420" si="249">Q28</f>
        <v>85</v>
      </c>
      <c r="AM418" s="36" t="str">
        <f t="shared" ref="AM418:AM420" si="250">BL376</f>
        <v>1A</v>
      </c>
      <c r="AN418" s="36" t="str">
        <f t="shared" si="239"/>
        <v>EC</v>
      </c>
      <c r="AO418" s="36" t="str">
        <f t="shared" si="239"/>
        <v>B9</v>
      </c>
      <c r="AP418" s="36" t="str">
        <f t="shared" si="239"/>
        <v>74</v>
      </c>
      <c r="AR418" s="36" t="str">
        <f t="shared" ref="AR418:AR420" si="251">DEC2HEX(_xlfn.BITXOR(HEX2DEC(AH418),HEX2DEC(AM418)))</f>
        <v>29</v>
      </c>
      <c r="AS418" s="36" t="str">
        <f t="shared" si="240"/>
        <v>41</v>
      </c>
      <c r="AT418" s="36" t="str">
        <f t="shared" si="241"/>
        <v>1E</v>
      </c>
      <c r="AU418" s="36" t="str">
        <f t="shared" si="242"/>
        <v>F1</v>
      </c>
      <c r="AW418" s="1" t="s">
        <v>107</v>
      </c>
      <c r="AX418" s="1">
        <v>83</v>
      </c>
      <c r="AY418" s="1">
        <v>72</v>
      </c>
      <c r="AZ418" s="1" t="s">
        <v>78</v>
      </c>
      <c r="BB418" s="43">
        <f>AX418</f>
        <v>83</v>
      </c>
      <c r="BC418" s="43">
        <f t="shared" ref="BC418" si="252">AY418</f>
        <v>72</v>
      </c>
      <c r="BD418" s="43" t="str">
        <f t="shared" ref="BD418" si="253">AZ418</f>
        <v>A1</v>
      </c>
      <c r="BE418" s="29" t="str">
        <f>AW418</f>
        <v>A5</v>
      </c>
      <c r="BF418" s="43"/>
      <c r="BG418" s="34">
        <v>1</v>
      </c>
      <c r="BH418" s="34">
        <v>2</v>
      </c>
      <c r="BI418" s="34">
        <v>3</v>
      </c>
      <c r="BJ418" s="34">
        <v>1</v>
      </c>
      <c r="BK418" s="36"/>
      <c r="BL418" s="44" t="str">
        <f>DEC2HEX(_xlfn.BITXOR(_xlfn.BITXOR(_xlfn.BITXOR(HEX2DEC(IF(AND(BG418=3,BB410=0),DEC2HEX(_xlfn.BITXOR(BIN2DEC((RIGHT(HEX2BIN(BB417,8)&amp;LEFT(HEX2BIN($A$1,8),1),8))),HEX2DEC(BB417)),2),IF(AND(BG418=2,BB410=0),BIN2HEX(RIGHT(HEX2BIN(BB417,8)&amp;LEFT(HEX2BIN($A$1,8),1),8)),IF(AND(BG418=2,BB410=1),DEC2HEX(_xlfn.BITXOR(BIN2DEC(RIGHT(HEX2BIN(BB417,8)&amp;LEFT(HEX2BIN($A$1,8),1),8)),HEX2DEC($B$1))),IF(AND(BG418=3,BB410=1),DEC2HEX(_xlfn.BITXOR(_xlfn.BITXOR(BIN2DEC(RIGHT(HEX2BIN(BB417,8)&amp;LEFT(HEX2BIN($A$1,8),1),8)),HEX2DEC($B$1)),HEX2DEC(BB417))),BB417))))),HEX2DEC(IF(AND(BH418=3,BB411=0),DEC2HEX(_xlfn.BITXOR(BIN2DEC((RIGHT(HEX2BIN(BB418,8)&amp;LEFT(HEX2BIN($A$1,8),1),8))),HEX2DEC(BB418)),2),IF(AND(BH418=2,BB411=0),BIN2HEX(RIGHT(HEX2BIN(BB418,8)&amp;LEFT(HEX2BIN($A$1,8),1),8)),IF(AND(BH418=2,BB411=1),DEC2HEX(_xlfn.BITXOR(BIN2DEC(RIGHT(HEX2BIN(BB418,8)&amp;LEFT(HEX2BIN($A$1,8),1),8)),HEX2DEC($B$1))),IF(AND(BH418=3,BB411=1),DEC2HEX(_xlfn.BITXOR(_xlfn.BITXOR(BIN2DEC(RIGHT(HEX2BIN(BB418,8)&amp;LEFT(HEX2BIN($A$1,8),1),8)),HEX2DEC($B$1)),HEX2DEC(BB418))),BB418)))))),HEX2DEC(IF(AND(BI418=3,BB412=0),DEC2HEX(_xlfn.BITXOR(BIN2DEC((RIGHT(HEX2BIN(BB419,8)&amp;LEFT(HEX2BIN($A$1,8),1),8))),HEX2DEC(BB419)),2),IF(AND(BI418=2,BB412=0),BIN2HEX(RIGHT(HEX2BIN(BB419,8)&amp;LEFT(HEX2BIN($A$1,8),1),8)),IF(AND(BI418=2,BB412=1),DEC2HEX(_xlfn.BITXOR(BIN2DEC(RIGHT(HEX2BIN(BB419,8)&amp;LEFT(HEX2BIN($A$1,8),1),8)),HEX2DEC($B$1))),IF(AND(BI418=3,BB412=1),DEC2HEX(_xlfn.BITXOR(_xlfn.BITXOR(BIN2DEC(RIGHT(HEX2BIN(BB419,8)&amp;LEFT(HEX2BIN($A$1,8),1),8)),HEX2DEC($B$1)),HEX2DEC(BB419))),BB419)))))),HEX2DEC(IF(AND(BJ418=3,BB413=0),DEC2HEX(_xlfn.BITXOR(BIN2DEC((RIGHT(HEX2BIN(BB420,8)&amp;LEFT(HEX2BIN($A$1,8),1),8))),HEX2DEC(BB420)),2),IF(AND(BJ418=2,BB413=0),BIN2HEX(RIGHT(HEX2BIN(BB420,8)&amp;LEFT(HEX2BIN($A$1,8),1),8)),IF(AND(BJ418=2,BB413=1),DEC2HEX(_xlfn.BITXOR(BIN2DEC(RIGHT(HEX2BIN(BB420,8)&amp;LEFT(HEX2BIN($A$1,8),1),8)),HEX2DEC($B$1))),IF(AND(BJ418=3,BB413=1),DEC2HEX(_xlfn.BITXOR(_xlfn.BITXOR(BIN2DEC(RIGHT(HEX2BIN(BB420,8)&amp;LEFT(HEX2BIN($A$1,8),1),8)),HEX2DEC($B$1)),HEX2DEC(BB420))),BB420)))))))</f>
        <v>CF</v>
      </c>
      <c r="BM418" s="44" t="str">
        <f>DEC2HEX(_xlfn.BITXOR(_xlfn.BITXOR(_xlfn.BITXOR(HEX2DEC(IF(AND(BG418=3,BC410=0),DEC2HEX(_xlfn.BITXOR(BIN2DEC((RIGHT(HEX2BIN(BC417,8)&amp;LEFT(HEX2BIN($A$1,8),1),8))),HEX2DEC(BC417)),2),IF(AND(BG418=2,BC410=0),BIN2HEX(RIGHT(HEX2BIN(BC417,8)&amp;LEFT(HEX2BIN($A$1,8),1),8)),IF(AND(BG418=2,BC410=1),DEC2HEX(_xlfn.BITXOR(BIN2DEC(RIGHT(HEX2BIN(BC417,8)&amp;LEFT(HEX2BIN($A$1,8),1),8)),HEX2DEC($B$1))),IF(AND(BG418=3,BC410=1),DEC2HEX(_xlfn.BITXOR(_xlfn.BITXOR(BIN2DEC(RIGHT(HEX2BIN(BC417,8)&amp;LEFT(HEX2BIN($A$1,8),1),8)),HEX2DEC($B$1)),HEX2DEC(BC417))),BC417))))),HEX2DEC(IF(AND(BH418=3,BC411=0),DEC2HEX(_xlfn.BITXOR(BIN2DEC((RIGHT(HEX2BIN(BC418,8)&amp;LEFT(HEX2BIN($A$1,8),1),8))),HEX2DEC(BC418)),2),IF(AND(BH418=2,BC411=0),BIN2HEX(RIGHT(HEX2BIN(BC418,8)&amp;LEFT(HEX2BIN($A$1,8),1),8)),IF(AND(BH418=2,BC411=1),DEC2HEX(_xlfn.BITXOR(BIN2DEC(RIGHT(HEX2BIN(BC418,8)&amp;LEFT(HEX2BIN($A$1,8),1),8)),HEX2DEC($B$1))),IF(AND(BH418=3,BC411=1),DEC2HEX(_xlfn.BITXOR(_xlfn.BITXOR(BIN2DEC(RIGHT(HEX2BIN(BC418,8)&amp;LEFT(HEX2BIN($A$1,8),1),8)),HEX2DEC($B$1)),HEX2DEC(BC418))),BC418)))))),HEX2DEC(IF(AND(BI418=3,BC412=0),DEC2HEX(_xlfn.BITXOR(BIN2DEC((RIGHT(HEX2BIN(BC419,8)&amp;LEFT(HEX2BIN($A$1,8),1),8))),HEX2DEC(BC419)),2),IF(AND(BI418=2,BC412=0),BIN2HEX(RIGHT(HEX2BIN(BC419,8)&amp;LEFT(HEX2BIN($A$1,8),1),8)),IF(AND(BI418=2,BC412=1),DEC2HEX(_xlfn.BITXOR(BIN2DEC(RIGHT(HEX2BIN(BC419,8)&amp;LEFT(HEX2BIN($A$1,8),1),8)),HEX2DEC($B$1))),IF(AND(BI418=3,BC412=1),DEC2HEX(_xlfn.BITXOR(_xlfn.BITXOR(BIN2DEC(RIGHT(HEX2BIN(BC419,8)&amp;LEFT(HEX2BIN($A$1,8),1),8)),HEX2DEC($B$1)),HEX2DEC(BC419))),BC419)))))),HEX2DEC(IF(AND(BJ418=3,BC413=0),DEC2HEX(_xlfn.BITXOR(BIN2DEC((RIGHT(HEX2BIN(BC420,8)&amp;LEFT(HEX2BIN($A$1,8),1),8))),HEX2DEC(BC420)),2),IF(AND(BJ418=2,BC413=0),BIN2HEX(RIGHT(HEX2BIN(BC420,8)&amp;LEFT(HEX2BIN($A$1,8),1),8)),IF(AND(BJ418=2,BC413=1),DEC2HEX(_xlfn.BITXOR(BIN2DEC(RIGHT(HEX2BIN(BC420,8)&amp;LEFT(HEX2BIN($A$1,8),1),8)),HEX2DEC($B$1))),IF(AND(BJ418=3,BC413=1),DEC2HEX(_xlfn.BITXOR(_xlfn.BITXOR(BIN2DEC(RIGHT(HEX2BIN(BC420,8)&amp;LEFT(HEX2BIN($A$1,8),1),8)),HEX2DEC($B$1)),HEX2DEC(BC420))),BC420)))))))</f>
        <v>1</v>
      </c>
      <c r="BN418" s="44" t="str">
        <f>DEC2HEX(_xlfn.BITXOR(_xlfn.BITXOR(_xlfn.BITXOR(HEX2DEC(IF(AND(BG418=3,BD410=0),DEC2HEX(_xlfn.BITXOR(BIN2DEC((RIGHT(HEX2BIN(BD417,8)&amp;LEFT(HEX2BIN($A$1,8),1),8))),HEX2DEC(BD417)),2),IF(AND(BG418=2,BD410=0),BIN2HEX(RIGHT(HEX2BIN(BD417,8)&amp;LEFT(HEX2BIN($A$1,8),1),8)),IF(AND(BG418=2,BD410=1),DEC2HEX(_xlfn.BITXOR(BIN2DEC(RIGHT(HEX2BIN(BD417,8)&amp;LEFT(HEX2BIN($A$1,8),1),8)),HEX2DEC($B$1))),IF(AND(BG418=3,BD410=1),DEC2HEX(_xlfn.BITXOR(_xlfn.BITXOR(BIN2DEC(RIGHT(HEX2BIN(BD417,8)&amp;LEFT(HEX2BIN($A$1,8),1),8)),HEX2DEC($B$1)),HEX2DEC(BD417))),BD417))))),HEX2DEC(IF(AND(BH418=3,BD411=0),DEC2HEX(_xlfn.BITXOR(BIN2DEC((RIGHT(HEX2BIN(BD418,8)&amp;LEFT(HEX2BIN($A$1,8),1),8))),HEX2DEC(BD418)),2),IF(AND(BH418=2,BD411=0),BIN2HEX(RIGHT(HEX2BIN(BD418,8)&amp;LEFT(HEX2BIN($A$1,8),1),8)),IF(AND(BH418=2,BD411=1),DEC2HEX(_xlfn.BITXOR(BIN2DEC(RIGHT(HEX2BIN(BD418,8)&amp;LEFT(HEX2BIN($A$1,8),1),8)),HEX2DEC($B$1))),IF(AND(BH418=3,BD411=1),DEC2HEX(_xlfn.BITXOR(_xlfn.BITXOR(BIN2DEC(RIGHT(HEX2BIN(BD418,8)&amp;LEFT(HEX2BIN($A$1,8),1),8)),HEX2DEC($B$1)),HEX2DEC(BD418))),BD418)))))),HEX2DEC(IF(AND(BI418=3,BD412=0),DEC2HEX(_xlfn.BITXOR(BIN2DEC((RIGHT(HEX2BIN(BD419,8)&amp;LEFT(HEX2BIN($A$1,8),1),8))),HEX2DEC(BD419)),2),IF(AND(BI418=2,BD412=0),BIN2HEX(RIGHT(HEX2BIN(BD419,8)&amp;LEFT(HEX2BIN($A$1,8),1),8)),IF(AND(BI418=2,BD412=1),DEC2HEX(_xlfn.BITXOR(BIN2DEC(RIGHT(HEX2BIN(BD419,8)&amp;LEFT(HEX2BIN($A$1,8),1),8)),HEX2DEC($B$1))),IF(AND(BI418=3,BD412=1),DEC2HEX(_xlfn.BITXOR(_xlfn.BITXOR(BIN2DEC(RIGHT(HEX2BIN(BD419,8)&amp;LEFT(HEX2BIN($A$1,8),1),8)),HEX2DEC($B$1)),HEX2DEC(BD419))),BD419)))))),HEX2DEC(IF(AND(BJ418=3,BD413=0),DEC2HEX(_xlfn.BITXOR(BIN2DEC((RIGHT(HEX2BIN(BD420,8)&amp;LEFT(HEX2BIN($A$1,8),1),8))),HEX2DEC(BD420)),2),IF(AND(BJ418=2,BD413=0),BIN2HEX(RIGHT(HEX2BIN(BD420,8)&amp;LEFT(HEX2BIN($A$1,8),1),8)),IF(AND(BJ418=2,BD413=1),DEC2HEX(_xlfn.BITXOR(BIN2DEC(RIGHT(HEX2BIN(BD420,8)&amp;LEFT(HEX2BIN($A$1,8),1),8)),HEX2DEC($B$1))),IF(AND(BJ418=3,BD413=1),DEC2HEX(_xlfn.BITXOR(_xlfn.BITXOR(BIN2DEC(RIGHT(HEX2BIN(BD420,8)&amp;LEFT(HEX2BIN($A$1,8),1),8)),HEX2DEC($B$1)),HEX2DEC(BD420))),BD420)))))))</f>
        <v>6A</v>
      </c>
      <c r="BO418" s="44" t="str">
        <f>DEC2HEX(_xlfn.BITXOR(_xlfn.BITXOR(_xlfn.BITXOR(HEX2DEC(IF(AND(BG418=3,BE410=0),DEC2HEX(_xlfn.BITXOR(BIN2DEC((RIGHT(HEX2BIN(BE417,8)&amp;LEFT(HEX2BIN($A$1,8),1),8))),HEX2DEC(BE417)),2),IF(AND(BG418=2,BE410=0),BIN2HEX(RIGHT(HEX2BIN(BE417,8)&amp;LEFT(HEX2BIN($A$1,8),1),8)),IF(AND(BG418=2,BE410=1),DEC2HEX(_xlfn.BITXOR(BIN2DEC(RIGHT(HEX2BIN(BE417,8)&amp;LEFT(HEX2BIN($A$1,8),1),8)),HEX2DEC($B$1))),IF(AND(BG418=3,BE410=1),DEC2HEX(_xlfn.BITXOR(_xlfn.BITXOR(BIN2DEC(RIGHT(HEX2BIN(BE417,8)&amp;LEFT(HEX2BIN($A$1,8),1),8)),HEX2DEC($B$1)),HEX2DEC(BE417))),BE417))))),HEX2DEC(IF(AND(BH418=3,BE411=0),DEC2HEX(_xlfn.BITXOR(BIN2DEC((RIGHT(HEX2BIN(BE418,8)&amp;LEFT(HEX2BIN($A$1,8),1),8))),HEX2DEC(BE418)),2),IF(AND(BH418=2,BE411=0),BIN2HEX(RIGHT(HEX2BIN(BE418,8)&amp;LEFT(HEX2BIN($A$1,8),1),8)),IF(AND(BH418=2,BE411=1),DEC2HEX(_xlfn.BITXOR(BIN2DEC(RIGHT(HEX2BIN(BE418,8)&amp;LEFT(HEX2BIN($A$1,8),1),8)),HEX2DEC($B$1))),IF(AND(BH418=3,BE411=1),DEC2HEX(_xlfn.BITXOR(_xlfn.BITXOR(BIN2DEC(RIGHT(HEX2BIN(BE418,8)&amp;LEFT(HEX2BIN($A$1,8),1),8)),HEX2DEC($B$1)),HEX2DEC(BE418))),BE418)))))),HEX2DEC(IF(AND(BI418=3,BE412=0),DEC2HEX(_xlfn.BITXOR(BIN2DEC((RIGHT(HEX2BIN(BE419,8)&amp;LEFT(HEX2BIN($A$1,8),1),8))),HEX2DEC(BE419)),2),IF(AND(BI418=2,BE412=0),BIN2HEX(RIGHT(HEX2BIN(BE419,8)&amp;LEFT(HEX2BIN($A$1,8),1),8)),IF(AND(BI418=2,BE412=1),DEC2HEX(_xlfn.BITXOR(BIN2DEC(RIGHT(HEX2BIN(BE419,8)&amp;LEFT(HEX2BIN($A$1,8),1),8)),HEX2DEC($B$1))),IF(AND(BI418=3,BE412=1),DEC2HEX(_xlfn.BITXOR(_xlfn.BITXOR(BIN2DEC(RIGHT(HEX2BIN(BE419,8)&amp;LEFT(HEX2BIN($A$1,8),1),8)),HEX2DEC($B$1)),HEX2DEC(BE419))),BE419)))))),HEX2DEC(IF(AND(BJ418=3,BE413=0),DEC2HEX(_xlfn.BITXOR(BIN2DEC((RIGHT(HEX2BIN(BE420,8)&amp;LEFT(HEX2BIN($A$1,8),1),8))),HEX2DEC(BE420)),2),IF(AND(BJ418=2,BE413=0),BIN2HEX(RIGHT(HEX2BIN(BE420,8)&amp;LEFT(HEX2BIN($A$1,8),1),8)),IF(AND(BJ418=2,BE413=1),DEC2HEX(_xlfn.BITXOR(BIN2DEC(RIGHT(HEX2BIN(BE420,8)&amp;LEFT(HEX2BIN($A$1,8),1),8)),HEX2DEC($B$1))),IF(AND(BJ418=3,BE413=1),DEC2HEX(_xlfn.BITXOR(_xlfn.BITXOR(BIN2DEC(RIGHT(HEX2BIN(BE420,8)&amp;LEFT(HEX2BIN($A$1,8),1),8)),HEX2DEC($B$1)),HEX2DEC(BE420))),BE420)))))))</f>
        <v>78</v>
      </c>
      <c r="BS418" s="44" t="s">
        <v>97</v>
      </c>
      <c r="BT418" s="44">
        <v>61</v>
      </c>
      <c r="BU418" s="44">
        <v>80</v>
      </c>
      <c r="BV418" s="44">
        <v>97</v>
      </c>
    </row>
    <row r="419" spans="2:74" x14ac:dyDescent="0.25">
      <c r="B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H419" s="14" t="str">
        <f t="shared" si="246"/>
        <v>44</v>
      </c>
      <c r="AI419" s="14" t="str">
        <f t="shared" si="247"/>
        <v>56</v>
      </c>
      <c r="AJ419" s="14" t="str">
        <f t="shared" si="248"/>
        <v>45</v>
      </c>
      <c r="AK419" s="14" t="str">
        <f t="shared" si="249"/>
        <v>FB</v>
      </c>
      <c r="AM419" s="36" t="str">
        <f t="shared" si="250"/>
        <v>6A</v>
      </c>
      <c r="AN419" s="36" t="str">
        <f t="shared" si="239"/>
        <v>63</v>
      </c>
      <c r="AO419" s="36" t="str">
        <f t="shared" si="239"/>
        <v>1E</v>
      </c>
      <c r="AP419" s="36" t="str">
        <f t="shared" si="239"/>
        <v>9D</v>
      </c>
      <c r="AR419" s="36" t="str">
        <f t="shared" si="251"/>
        <v>2E</v>
      </c>
      <c r="AS419" s="36" t="str">
        <f t="shared" si="240"/>
        <v>35</v>
      </c>
      <c r="AT419" s="36" t="str">
        <f t="shared" si="241"/>
        <v>5B</v>
      </c>
      <c r="AU419" s="36" t="str">
        <f t="shared" si="242"/>
        <v>66</v>
      </c>
      <c r="AW419" s="1">
        <v>31</v>
      </c>
      <c r="AX419" s="1">
        <v>96</v>
      </c>
      <c r="AY419" s="1">
        <v>39</v>
      </c>
      <c r="AZ419" s="1">
        <v>33</v>
      </c>
      <c r="BB419" s="43">
        <f>AY419</f>
        <v>39</v>
      </c>
      <c r="BC419" s="43">
        <f>AZ419</f>
        <v>33</v>
      </c>
      <c r="BD419" s="43">
        <f>AW419</f>
        <v>31</v>
      </c>
      <c r="BE419" s="29">
        <f>AX419</f>
        <v>96</v>
      </c>
      <c r="BF419" s="43"/>
      <c r="BG419" s="34">
        <v>1</v>
      </c>
      <c r="BH419" s="34">
        <v>1</v>
      </c>
      <c r="BI419" s="34">
        <v>2</v>
      </c>
      <c r="BJ419" s="34">
        <v>3</v>
      </c>
      <c r="BK419" s="36"/>
      <c r="BL419" s="44" t="str">
        <f>DEC2HEX(_xlfn.BITXOR(_xlfn.BITXOR(_xlfn.BITXOR(HEX2DEC(IF(AND(BG419=3,BB410=0),DEC2HEX(_xlfn.BITXOR(BIN2DEC((RIGHT(HEX2BIN(BB417,8)&amp;LEFT(HEX2BIN($A$1,8),1),8))),HEX2DEC(BB417)),2),IF(AND(BG419=2,BB410=0),BIN2HEX(RIGHT(HEX2BIN(BB417,8)&amp;LEFT(HEX2BIN($A$1,8),1),8)),IF(AND(BG419=2,BB410=1),DEC2HEX(_xlfn.BITXOR(BIN2DEC(RIGHT(HEX2BIN(BB417,8)&amp;LEFT(HEX2BIN($A$1,8),1),8)),HEX2DEC($B$1))),IF(AND(BG419=3,BB410=1),DEC2HEX(_xlfn.BITXOR(_xlfn.BITXOR(BIN2DEC(RIGHT(HEX2BIN(BB417,8)&amp;LEFT(HEX2BIN($A$1,8),1),8)),HEX2DEC($B$1)),HEX2DEC(BB417))),BB417))))),HEX2DEC(IF(AND(BH419=3,BB411=0),DEC2HEX(_xlfn.BITXOR(BIN2DEC((RIGHT(HEX2BIN(BB418,8)&amp;LEFT(HEX2BIN($A$1,8),1),8))),HEX2DEC(BB418)),2),IF(AND(BH419=2,BB411=0),BIN2HEX(RIGHT(HEX2BIN(BB418,8)&amp;LEFT(HEX2BIN($A$1,8),1),8)),IF(AND(BH419=2,BB411=1),DEC2HEX(_xlfn.BITXOR(BIN2DEC(RIGHT(HEX2BIN(BB418,8)&amp;LEFT(HEX2BIN($A$1,8),1),8)),HEX2DEC($B$1))),IF(AND(BH419=3,BB411=1),DEC2HEX(_xlfn.BITXOR(_xlfn.BITXOR(BIN2DEC(RIGHT(HEX2BIN(BB418,8)&amp;LEFT(HEX2BIN($A$1,8),1),8)),HEX2DEC($B$1)),HEX2DEC(BB418))),BB418)))))),HEX2DEC(IF(AND(BI419=3,BB412=0),DEC2HEX(_xlfn.BITXOR(BIN2DEC((RIGHT(HEX2BIN(BB419,8)&amp;LEFT(HEX2BIN($A$1,8),1),8))),HEX2DEC(BB419)),2),IF(AND(BI419=2,BB412=0),BIN2HEX(RIGHT(HEX2BIN(BB419,8)&amp;LEFT(HEX2BIN($A$1,8),1),8)),IF(AND(BI419=2,BB412=1),DEC2HEX(_xlfn.BITXOR(BIN2DEC(RIGHT(HEX2BIN(BB419,8)&amp;LEFT(HEX2BIN($A$1,8),1),8)),HEX2DEC($B$1))),IF(AND(BI419=3,BB412=1),DEC2HEX(_xlfn.BITXOR(_xlfn.BITXOR(BIN2DEC(RIGHT(HEX2BIN(BB419,8)&amp;LEFT(HEX2BIN($A$1,8),1),8)),HEX2DEC($B$1)),HEX2DEC(BB419))),BB419)))))),HEX2DEC(IF(AND(BJ419=3,BB413=0),DEC2HEX(_xlfn.BITXOR(BIN2DEC((RIGHT(HEX2BIN(BB420,8)&amp;LEFT(HEX2BIN($A$1,8),1),8))),HEX2DEC(BB420)),2),IF(AND(BJ419=2,BB413=0),BIN2HEX(RIGHT(HEX2BIN(BB420,8)&amp;LEFT(HEX2BIN($A$1,8),1),8)),IF(AND(BJ419=2,BB413=1),DEC2HEX(_xlfn.BITXOR(BIN2DEC(RIGHT(HEX2BIN(BB420,8)&amp;LEFT(HEX2BIN($A$1,8),1),8)),HEX2DEC($B$1))),IF(AND(BJ419=3,BB413=1),DEC2HEX(_xlfn.BITXOR(_xlfn.BITXOR(BIN2DEC(RIGHT(HEX2BIN(BB420,8)&amp;LEFT(HEX2BIN($A$1,8),1),8)),HEX2DEC($B$1)),HEX2DEC(BB420))),BB420)))))))</f>
        <v>94</v>
      </c>
      <c r="BM419" s="44" t="str">
        <f>DEC2HEX(_xlfn.BITXOR(_xlfn.BITXOR(_xlfn.BITXOR(HEX2DEC(IF(AND(BG419=3,BC410=0),DEC2HEX(_xlfn.BITXOR(BIN2DEC((RIGHT(HEX2BIN(BC417,8)&amp;LEFT(HEX2BIN($A$1,8),1),8))),HEX2DEC(BC417)),2),IF(AND(BG419=2,BC410=0),BIN2HEX(RIGHT(HEX2BIN(BC417,8)&amp;LEFT(HEX2BIN($A$1,8),1),8)),IF(AND(BG419=2,BC410=1),DEC2HEX(_xlfn.BITXOR(BIN2DEC(RIGHT(HEX2BIN(BC417,8)&amp;LEFT(HEX2BIN($A$1,8),1),8)),HEX2DEC($B$1))),IF(AND(BG419=3,BC410=1),DEC2HEX(_xlfn.BITXOR(_xlfn.BITXOR(BIN2DEC(RIGHT(HEX2BIN(BC417,8)&amp;LEFT(HEX2BIN($A$1,8),1),8)),HEX2DEC($B$1)),HEX2DEC(BC417))),BC417))))),HEX2DEC(IF(AND(BH419=3,BC411=0),DEC2HEX(_xlfn.BITXOR(BIN2DEC((RIGHT(HEX2BIN(BC418,8)&amp;LEFT(HEX2BIN($A$1,8),1),8))),HEX2DEC(BC418)),2),IF(AND(BH419=2,BC411=0),BIN2HEX(RIGHT(HEX2BIN(BC418,8)&amp;LEFT(HEX2BIN($A$1,8),1),8)),IF(AND(BH419=2,BC411=1),DEC2HEX(_xlfn.BITXOR(BIN2DEC(RIGHT(HEX2BIN(BC418,8)&amp;LEFT(HEX2BIN($A$1,8),1),8)),HEX2DEC($B$1))),IF(AND(BH419=3,BC411=1),DEC2HEX(_xlfn.BITXOR(_xlfn.BITXOR(BIN2DEC(RIGHT(HEX2BIN(BC418,8)&amp;LEFT(HEX2BIN($A$1,8),1),8)),HEX2DEC($B$1)),HEX2DEC(BC418))),BC418)))))),HEX2DEC(IF(AND(BI419=3,BC412=0),DEC2HEX(_xlfn.BITXOR(BIN2DEC((RIGHT(HEX2BIN(BC419,8)&amp;LEFT(HEX2BIN($A$1,8),1),8))),HEX2DEC(BC419)),2),IF(AND(BI419=2,BC412=0),BIN2HEX(RIGHT(HEX2BIN(BC419,8)&amp;LEFT(HEX2BIN($A$1,8),1),8)),IF(AND(BI419=2,BC412=1),DEC2HEX(_xlfn.BITXOR(BIN2DEC(RIGHT(HEX2BIN(BC419,8)&amp;LEFT(HEX2BIN($A$1,8),1),8)),HEX2DEC($B$1))),IF(AND(BI419=3,BC412=1),DEC2HEX(_xlfn.BITXOR(_xlfn.BITXOR(BIN2DEC(RIGHT(HEX2BIN(BC419,8)&amp;LEFT(HEX2BIN($A$1,8),1),8)),HEX2DEC($B$1)),HEX2DEC(BC419))),BC419)))))),HEX2DEC(IF(AND(BJ419=3,BC413=0),DEC2HEX(_xlfn.BITXOR(BIN2DEC((RIGHT(HEX2BIN(BC420,8)&amp;LEFT(HEX2BIN($A$1,8),1),8))),HEX2DEC(BC420)),2),IF(AND(BJ419=2,BC413=0),BIN2HEX(RIGHT(HEX2BIN(BC420,8)&amp;LEFT(HEX2BIN($A$1,8),1),8)),IF(AND(BJ419=2,BC413=1),DEC2HEX(_xlfn.BITXOR(BIN2DEC(RIGHT(HEX2BIN(BC420,8)&amp;LEFT(HEX2BIN($A$1,8),1),8)),HEX2DEC($B$1))),IF(AND(BJ419=3,BC413=1),DEC2HEX(_xlfn.BITXOR(_xlfn.BITXOR(BIN2DEC(RIGHT(HEX2BIN(BC420,8)&amp;LEFT(HEX2BIN($A$1,8),1),8)),HEX2DEC($B$1)),HEX2DEC(BC420))),BC420)))))))</f>
        <v>C4</v>
      </c>
      <c r="BN419" s="44" t="str">
        <f>DEC2HEX(_xlfn.BITXOR(_xlfn.BITXOR(_xlfn.BITXOR(HEX2DEC(IF(AND(BG419=3,BD410=0),DEC2HEX(_xlfn.BITXOR(BIN2DEC((RIGHT(HEX2BIN(BD417,8)&amp;LEFT(HEX2BIN($A$1,8),1),8))),HEX2DEC(BD417)),2),IF(AND(BG419=2,BD410=0),BIN2HEX(RIGHT(HEX2BIN(BD417,8)&amp;LEFT(HEX2BIN($A$1,8),1),8)),IF(AND(BG419=2,BD410=1),DEC2HEX(_xlfn.BITXOR(BIN2DEC(RIGHT(HEX2BIN(BD417,8)&amp;LEFT(HEX2BIN($A$1,8),1),8)),HEX2DEC($B$1))),IF(AND(BG419=3,BD410=1),DEC2HEX(_xlfn.BITXOR(_xlfn.BITXOR(BIN2DEC(RIGHT(HEX2BIN(BD417,8)&amp;LEFT(HEX2BIN($A$1,8),1),8)),HEX2DEC($B$1)),HEX2DEC(BD417))),BD417))))),HEX2DEC(IF(AND(BH419=3,BD411=0),DEC2HEX(_xlfn.BITXOR(BIN2DEC((RIGHT(HEX2BIN(BD418,8)&amp;LEFT(HEX2BIN($A$1,8),1),8))),HEX2DEC(BD418)),2),IF(AND(BH419=2,BD411=0),BIN2HEX(RIGHT(HEX2BIN(BD418,8)&amp;LEFT(HEX2BIN($A$1,8),1),8)),IF(AND(BH419=2,BD411=1),DEC2HEX(_xlfn.BITXOR(BIN2DEC(RIGHT(HEX2BIN(BD418,8)&amp;LEFT(HEX2BIN($A$1,8),1),8)),HEX2DEC($B$1))),IF(AND(BH419=3,BD411=1),DEC2HEX(_xlfn.BITXOR(_xlfn.BITXOR(BIN2DEC(RIGHT(HEX2BIN(BD418,8)&amp;LEFT(HEX2BIN($A$1,8),1),8)),HEX2DEC($B$1)),HEX2DEC(BD418))),BD418)))))),HEX2DEC(IF(AND(BI419=3,BD412=0),DEC2HEX(_xlfn.BITXOR(BIN2DEC((RIGHT(HEX2BIN(BD419,8)&amp;LEFT(HEX2BIN($A$1,8),1),8))),HEX2DEC(BD419)),2),IF(AND(BI419=2,BD412=0),BIN2HEX(RIGHT(HEX2BIN(BD419,8)&amp;LEFT(HEX2BIN($A$1,8),1),8)),IF(AND(BI419=2,BD412=1),DEC2HEX(_xlfn.BITXOR(BIN2DEC(RIGHT(HEX2BIN(BD419,8)&amp;LEFT(HEX2BIN($A$1,8),1),8)),HEX2DEC($B$1))),IF(AND(BI419=3,BD412=1),DEC2HEX(_xlfn.BITXOR(_xlfn.BITXOR(BIN2DEC(RIGHT(HEX2BIN(BD419,8)&amp;LEFT(HEX2BIN($A$1,8),1),8)),HEX2DEC($B$1)),HEX2DEC(BD419))),BD419)))))),HEX2DEC(IF(AND(BJ419=3,BD413=0),DEC2HEX(_xlfn.BITXOR(BIN2DEC((RIGHT(HEX2BIN(BD420,8)&amp;LEFT(HEX2BIN($A$1,8),1),8))),HEX2DEC(BD420)),2),IF(AND(BJ419=2,BD413=0),BIN2HEX(RIGHT(HEX2BIN(BD420,8)&amp;LEFT(HEX2BIN($A$1,8),1),8)),IF(AND(BJ419=2,BD413=1),DEC2HEX(_xlfn.BITXOR(BIN2DEC(RIGHT(HEX2BIN(BD420,8)&amp;LEFT(HEX2BIN($A$1,8),1),8)),HEX2DEC($B$1))),IF(AND(BJ419=3,BD413=1),DEC2HEX(_xlfn.BITXOR(_xlfn.BITXOR(BIN2DEC(RIGHT(HEX2BIN(BD420,8)&amp;LEFT(HEX2BIN($A$1,8),1),8)),HEX2DEC($B$1)),HEX2DEC(BD420))),BD420)))))))</f>
        <v>3F</v>
      </c>
      <c r="BO419" s="44" t="str">
        <f>DEC2HEX(_xlfn.BITXOR(_xlfn.BITXOR(_xlfn.BITXOR(HEX2DEC(IF(AND(BG419=3,BE410=0),DEC2HEX(_xlfn.BITXOR(BIN2DEC((RIGHT(HEX2BIN(BE417,8)&amp;LEFT(HEX2BIN($A$1,8),1),8))),HEX2DEC(BE417)),2),IF(AND(BG419=2,BE410=0),BIN2HEX(RIGHT(HEX2BIN(BE417,8)&amp;LEFT(HEX2BIN($A$1,8),1),8)),IF(AND(BG419=2,BE410=1),DEC2HEX(_xlfn.BITXOR(BIN2DEC(RIGHT(HEX2BIN(BE417,8)&amp;LEFT(HEX2BIN($A$1,8),1),8)),HEX2DEC($B$1))),IF(AND(BG419=3,BE410=1),DEC2HEX(_xlfn.BITXOR(_xlfn.BITXOR(BIN2DEC(RIGHT(HEX2BIN(BE417,8)&amp;LEFT(HEX2BIN($A$1,8),1),8)),HEX2DEC($B$1)),HEX2DEC(BE417))),BE417))))),HEX2DEC(IF(AND(BH419=3,BE411=0),DEC2HEX(_xlfn.BITXOR(BIN2DEC((RIGHT(HEX2BIN(BE418,8)&amp;LEFT(HEX2BIN($A$1,8),1),8))),HEX2DEC(BE418)),2),IF(AND(BH419=2,BE411=0),BIN2HEX(RIGHT(HEX2BIN(BE418,8)&amp;LEFT(HEX2BIN($A$1,8),1),8)),IF(AND(BH419=2,BE411=1),DEC2HEX(_xlfn.BITXOR(BIN2DEC(RIGHT(HEX2BIN(BE418,8)&amp;LEFT(HEX2BIN($A$1,8),1),8)),HEX2DEC($B$1))),IF(AND(BH419=3,BE411=1),DEC2HEX(_xlfn.BITXOR(_xlfn.BITXOR(BIN2DEC(RIGHT(HEX2BIN(BE418,8)&amp;LEFT(HEX2BIN($A$1,8),1),8)),HEX2DEC($B$1)),HEX2DEC(BE418))),BE418)))))),HEX2DEC(IF(AND(BI419=3,BE412=0),DEC2HEX(_xlfn.BITXOR(BIN2DEC((RIGHT(HEX2BIN(BE419,8)&amp;LEFT(HEX2BIN($A$1,8),1),8))),HEX2DEC(BE419)),2),IF(AND(BI419=2,BE412=0),BIN2HEX(RIGHT(HEX2BIN(BE419,8)&amp;LEFT(HEX2BIN($A$1,8),1),8)),IF(AND(BI419=2,BE412=1),DEC2HEX(_xlfn.BITXOR(BIN2DEC(RIGHT(HEX2BIN(BE419,8)&amp;LEFT(HEX2BIN($A$1,8),1),8)),HEX2DEC($B$1))),IF(AND(BI419=3,BE412=1),DEC2HEX(_xlfn.BITXOR(_xlfn.BITXOR(BIN2DEC(RIGHT(HEX2BIN(BE419,8)&amp;LEFT(HEX2BIN($A$1,8),1),8)),HEX2DEC($B$1)),HEX2DEC(BE419))),BE419)))))),HEX2DEC(IF(AND(BJ419=3,BE413=0),DEC2HEX(_xlfn.BITXOR(BIN2DEC((RIGHT(HEX2BIN(BE420,8)&amp;LEFT(HEX2BIN($A$1,8),1),8))),HEX2DEC(BE420)),2),IF(AND(BJ419=2,BE413=0),BIN2HEX(RIGHT(HEX2BIN(BE420,8)&amp;LEFT(HEX2BIN($A$1,8),1),8)),IF(AND(BJ419=2,BE413=1),DEC2HEX(_xlfn.BITXOR(BIN2DEC(RIGHT(HEX2BIN(BE420,8)&amp;LEFT(HEX2BIN($A$1,8),1),8)),HEX2DEC($B$1))),IF(AND(BJ419=3,BE413=1),DEC2HEX(_xlfn.BITXOR(_xlfn.BITXOR(BIN2DEC(RIGHT(HEX2BIN(BE420,8)&amp;LEFT(HEX2BIN($A$1,8),1),8)),HEX2DEC($B$1)),HEX2DEC(BE420))),BE420)))))))</f>
        <v>3F</v>
      </c>
      <c r="BS419" s="44">
        <v>37</v>
      </c>
      <c r="BT419" s="44" t="s">
        <v>198</v>
      </c>
      <c r="BU419" s="44" t="s">
        <v>154</v>
      </c>
      <c r="BV419" s="44" t="s">
        <v>152</v>
      </c>
    </row>
    <row r="420" spans="2:74" x14ac:dyDescent="0.25">
      <c r="B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H420" s="14" t="str">
        <f t="shared" si="246"/>
        <v>CB</v>
      </c>
      <c r="AI420" s="14" t="str">
        <f t="shared" si="247"/>
        <v>4B</v>
      </c>
      <c r="AJ420" s="14" t="str">
        <f t="shared" si="248"/>
        <v>B2</v>
      </c>
      <c r="AK420" s="14" t="str">
        <f t="shared" si="249"/>
        <v>12</v>
      </c>
      <c r="AM420" s="36" t="str">
        <f t="shared" si="250"/>
        <v>C3</v>
      </c>
      <c r="AN420" s="36" t="str">
        <f t="shared" si="239"/>
        <v>FD</v>
      </c>
      <c r="AO420" s="36" t="str">
        <f t="shared" si="239"/>
        <v>DC</v>
      </c>
      <c r="AP420" s="36" t="str">
        <f t="shared" si="239"/>
        <v>98</v>
      </c>
      <c r="AR420" s="36" t="str">
        <f t="shared" si="251"/>
        <v>8</v>
      </c>
      <c r="AS420" s="36" t="str">
        <f t="shared" si="240"/>
        <v>B6</v>
      </c>
      <c r="AT420" s="36" t="str">
        <f t="shared" si="241"/>
        <v>6E</v>
      </c>
      <c r="AU420" s="36" t="str">
        <f t="shared" si="242"/>
        <v>8A</v>
      </c>
      <c r="AW420" s="1">
        <v>30</v>
      </c>
      <c r="AX420" s="1" t="s">
        <v>162</v>
      </c>
      <c r="AY420" s="1" t="s">
        <v>110</v>
      </c>
      <c r="AZ420" s="1" t="s">
        <v>83</v>
      </c>
      <c r="BB420" s="43" t="str">
        <f>AZ420</f>
        <v>7E</v>
      </c>
      <c r="BC420" s="43">
        <f>AW420</f>
        <v>30</v>
      </c>
      <c r="BD420" s="43" t="str">
        <f t="shared" ref="BD420" si="254">AX420</f>
        <v>4E</v>
      </c>
      <c r="BE420" s="30" t="str">
        <f t="shared" ref="BE420" si="255">AY420</f>
        <v>9F</v>
      </c>
      <c r="BF420" s="43"/>
      <c r="BG420" s="31">
        <v>3</v>
      </c>
      <c r="BH420" s="32">
        <v>1</v>
      </c>
      <c r="BI420" s="32">
        <v>1</v>
      </c>
      <c r="BJ420" s="33">
        <v>2</v>
      </c>
      <c r="BK420" s="36"/>
      <c r="BL420" s="44" t="str">
        <f>DEC2HEX(_xlfn.BITXOR(_xlfn.BITXOR(_xlfn.BITXOR(HEX2DEC(IF(AND(BG420=3,BB410=0),DEC2HEX(_xlfn.BITXOR(BIN2DEC((RIGHT(HEX2BIN(BB417,8)&amp;LEFT(HEX2BIN($A$1,8),1),8))),HEX2DEC(BB417)),2),IF(AND(BG420=2,BB410=0),BIN2HEX(RIGHT(HEX2BIN(BB417,8)&amp;LEFT(HEX2BIN($A$1,8),1),8)),IF(AND(BG420=2,BB410=1),DEC2HEX(_xlfn.BITXOR(BIN2DEC(RIGHT(HEX2BIN(BB417,8)&amp;LEFT(HEX2BIN($A$1,8),1),8)),HEX2DEC($B$1))),IF(AND(BG420=3,BB410=1),DEC2HEX(_xlfn.BITXOR(_xlfn.BITXOR(BIN2DEC(RIGHT(HEX2BIN(BB417,8)&amp;LEFT(HEX2BIN($A$1,8),1),8)),HEX2DEC($B$1)),HEX2DEC(BB417))),BB417))))),HEX2DEC(IF(AND(BH420=3,BB411=0),DEC2HEX(_xlfn.BITXOR(BIN2DEC((RIGHT(HEX2BIN(BB418,8)&amp;LEFT(HEX2BIN($A$1,8),1),8))),HEX2DEC(BB418)),2),IF(AND(BH420=2,BB411=0),BIN2HEX(RIGHT(HEX2BIN(BB418,8)&amp;LEFT(HEX2BIN($A$1,8),1),8)),IF(AND(BH420=2,BB411=1),DEC2HEX(_xlfn.BITXOR(BIN2DEC(RIGHT(HEX2BIN(BB418,8)&amp;LEFT(HEX2BIN($A$1,8),1),8)),HEX2DEC($B$1))),IF(AND(BH420=3,BB411=1),DEC2HEX(_xlfn.BITXOR(_xlfn.BITXOR(BIN2DEC(RIGHT(HEX2BIN(BB418,8)&amp;LEFT(HEX2BIN($A$1,8),1),8)),HEX2DEC($B$1)),HEX2DEC(BB418))),BB418)))))),HEX2DEC(IF(AND(BI420=3,BB412=0),DEC2HEX(_xlfn.BITXOR(BIN2DEC((RIGHT(HEX2BIN(BB419,8)&amp;LEFT(HEX2BIN($A$1,8),1),8))),HEX2DEC(BB419)),2),IF(AND(BI420=2,BB412=0),BIN2HEX(RIGHT(HEX2BIN(BB419,8)&amp;LEFT(HEX2BIN($A$1,8),1),8)),IF(AND(BI420=2,BB412=1),DEC2HEX(_xlfn.BITXOR(BIN2DEC(RIGHT(HEX2BIN(BB419,8)&amp;LEFT(HEX2BIN($A$1,8),1),8)),HEX2DEC($B$1))),IF(AND(BI420=3,BB412=1),DEC2HEX(_xlfn.BITXOR(_xlfn.BITXOR(BIN2DEC(RIGHT(HEX2BIN(BB419,8)&amp;LEFT(HEX2BIN($A$1,8),1),8)),HEX2DEC($B$1)),HEX2DEC(BB419))),BB419)))))),HEX2DEC(IF(AND(BJ420=3,BB413=0),DEC2HEX(_xlfn.BITXOR(BIN2DEC((RIGHT(HEX2BIN(BB420,8)&amp;LEFT(HEX2BIN($A$1,8),1),8))),HEX2DEC(BB420)),2),IF(AND(BJ420=2,BB413=0),BIN2HEX(RIGHT(HEX2BIN(BB420,8)&amp;LEFT(HEX2BIN($A$1,8),1),8)),IF(AND(BJ420=2,BB413=1),DEC2HEX(_xlfn.BITXOR(BIN2DEC(RIGHT(HEX2BIN(BB420,8)&amp;LEFT(HEX2BIN($A$1,8),1),8)),HEX2DEC($B$1))),IF(AND(BJ420=3,BB413=1),DEC2HEX(_xlfn.BITXOR(_xlfn.BITXOR(BIN2DEC(RIGHT(HEX2BIN(BB420,8)&amp;LEFT(HEX2BIN($A$1,8),1),8)),HEX2DEC($B$1)),HEX2DEC(BB420))),BB420)))))))</f>
        <v>74</v>
      </c>
      <c r="BM420" s="44" t="str">
        <f>DEC2HEX(_xlfn.BITXOR(_xlfn.BITXOR(_xlfn.BITXOR(HEX2DEC(IF(AND(BG420=3,BC410=0),DEC2HEX(_xlfn.BITXOR(BIN2DEC((RIGHT(HEX2BIN(BC417,8)&amp;LEFT(HEX2BIN($A$1,8),1),8))),HEX2DEC(BC417)),2),IF(AND(BG420=2,BC410=0),BIN2HEX(RIGHT(HEX2BIN(BC417,8)&amp;LEFT(HEX2BIN($A$1,8),1),8)),IF(AND(BG420=2,BC410=1),DEC2HEX(_xlfn.BITXOR(BIN2DEC(RIGHT(HEX2BIN(BC417,8)&amp;LEFT(HEX2BIN($A$1,8),1),8)),HEX2DEC($B$1))),IF(AND(BG420=3,BC410=1),DEC2HEX(_xlfn.BITXOR(_xlfn.BITXOR(BIN2DEC(RIGHT(HEX2BIN(BC417,8)&amp;LEFT(HEX2BIN($A$1,8),1),8)),HEX2DEC($B$1)),HEX2DEC(BC417))),BC417))))),HEX2DEC(IF(AND(BH420=3,BC411=0),DEC2HEX(_xlfn.BITXOR(BIN2DEC((RIGHT(HEX2BIN(BC418,8)&amp;LEFT(HEX2BIN($A$1,8),1),8))),HEX2DEC(BC418)),2),IF(AND(BH420=2,BC411=0),BIN2HEX(RIGHT(HEX2BIN(BC418,8)&amp;LEFT(HEX2BIN($A$1,8),1),8)),IF(AND(BH420=2,BC411=1),DEC2HEX(_xlfn.BITXOR(BIN2DEC(RIGHT(HEX2BIN(BC418,8)&amp;LEFT(HEX2BIN($A$1,8),1),8)),HEX2DEC($B$1))),IF(AND(BH420=3,BC411=1),DEC2HEX(_xlfn.BITXOR(_xlfn.BITXOR(BIN2DEC(RIGHT(HEX2BIN(BC418,8)&amp;LEFT(HEX2BIN($A$1,8),1),8)),HEX2DEC($B$1)),HEX2DEC(BC418))),BC418)))))),HEX2DEC(IF(AND(BI420=3,BC412=0),DEC2HEX(_xlfn.BITXOR(BIN2DEC((RIGHT(HEX2BIN(BC419,8)&amp;LEFT(HEX2BIN($A$1,8),1),8))),HEX2DEC(BC419)),2),IF(AND(BI420=2,BC412=0),BIN2HEX(RIGHT(HEX2BIN(BC419,8)&amp;LEFT(HEX2BIN($A$1,8),1),8)),IF(AND(BI420=2,BC412=1),DEC2HEX(_xlfn.BITXOR(BIN2DEC(RIGHT(HEX2BIN(BC419,8)&amp;LEFT(HEX2BIN($A$1,8),1),8)),HEX2DEC($B$1))),IF(AND(BI420=3,BC412=1),DEC2HEX(_xlfn.BITXOR(_xlfn.BITXOR(BIN2DEC(RIGHT(HEX2BIN(BC419,8)&amp;LEFT(HEX2BIN($A$1,8),1),8)),HEX2DEC($B$1)),HEX2DEC(BC419))),BC419)))))),HEX2DEC(IF(AND(BJ420=3,BC413=0),DEC2HEX(_xlfn.BITXOR(BIN2DEC((RIGHT(HEX2BIN(BC420,8)&amp;LEFT(HEX2BIN($A$1,8),1),8))),HEX2DEC(BC420)),2),IF(AND(BJ420=2,BC413=0),BIN2HEX(RIGHT(HEX2BIN(BC420,8)&amp;LEFT(HEX2BIN($A$1,8),1),8)),IF(AND(BJ420=2,BC413=1),DEC2HEX(_xlfn.BITXOR(BIN2DEC(RIGHT(HEX2BIN(BC420,8)&amp;LEFT(HEX2BIN($A$1,8),1),8)),HEX2DEC($B$1))),IF(AND(BJ420=3,BC413=1),DEC2HEX(_xlfn.BITXOR(_xlfn.BITXOR(BIN2DEC(RIGHT(HEX2BIN(BC420,8)&amp;LEFT(HEX2BIN($A$1,8),1),8)),HEX2DEC($B$1)),HEX2DEC(BC420))),BC420)))))))</f>
        <v>BA</v>
      </c>
      <c r="BN420" s="44" t="str">
        <f>DEC2HEX(_xlfn.BITXOR(_xlfn.BITXOR(_xlfn.BITXOR(HEX2DEC(IF(AND(BG420=3,BD410=0),DEC2HEX(_xlfn.BITXOR(BIN2DEC((RIGHT(HEX2BIN(BD417,8)&amp;LEFT(HEX2BIN($A$1,8),1),8))),HEX2DEC(BD417)),2),IF(AND(BG420=2,BD410=0),BIN2HEX(RIGHT(HEX2BIN(BD417,8)&amp;LEFT(HEX2BIN($A$1,8),1),8)),IF(AND(BG420=2,BD410=1),DEC2HEX(_xlfn.BITXOR(BIN2DEC(RIGHT(HEX2BIN(BD417,8)&amp;LEFT(HEX2BIN($A$1,8),1),8)),HEX2DEC($B$1))),IF(AND(BG420=3,BD410=1),DEC2HEX(_xlfn.BITXOR(_xlfn.BITXOR(BIN2DEC(RIGHT(HEX2BIN(BD417,8)&amp;LEFT(HEX2BIN($A$1,8),1),8)),HEX2DEC($B$1)),HEX2DEC(BD417))),BD417))))),HEX2DEC(IF(AND(BH420=3,BD411=0),DEC2HEX(_xlfn.BITXOR(BIN2DEC((RIGHT(HEX2BIN(BD418,8)&amp;LEFT(HEX2BIN($A$1,8),1),8))),HEX2DEC(BD418)),2),IF(AND(BH420=2,BD411=0),BIN2HEX(RIGHT(HEX2BIN(BD418,8)&amp;LEFT(HEX2BIN($A$1,8),1),8)),IF(AND(BH420=2,BD411=1),DEC2HEX(_xlfn.BITXOR(BIN2DEC(RIGHT(HEX2BIN(BD418,8)&amp;LEFT(HEX2BIN($A$1,8),1),8)),HEX2DEC($B$1))),IF(AND(BH420=3,BD411=1),DEC2HEX(_xlfn.BITXOR(_xlfn.BITXOR(BIN2DEC(RIGHT(HEX2BIN(BD418,8)&amp;LEFT(HEX2BIN($A$1,8),1),8)),HEX2DEC($B$1)),HEX2DEC(BD418))),BD418)))))),HEX2DEC(IF(AND(BI420=3,BD412=0),DEC2HEX(_xlfn.BITXOR(BIN2DEC((RIGHT(HEX2BIN(BD419,8)&amp;LEFT(HEX2BIN($A$1,8),1),8))),HEX2DEC(BD419)),2),IF(AND(BI420=2,BD412=0),BIN2HEX(RIGHT(HEX2BIN(BD419,8)&amp;LEFT(HEX2BIN($A$1,8),1),8)),IF(AND(BI420=2,BD412=1),DEC2HEX(_xlfn.BITXOR(BIN2DEC(RIGHT(HEX2BIN(BD419,8)&amp;LEFT(HEX2BIN($A$1,8),1),8)),HEX2DEC($B$1))),IF(AND(BI420=3,BD412=1),DEC2HEX(_xlfn.BITXOR(_xlfn.BITXOR(BIN2DEC(RIGHT(HEX2BIN(BD419,8)&amp;LEFT(HEX2BIN($A$1,8),1),8)),HEX2DEC($B$1)),HEX2DEC(BD419))),BD419)))))),HEX2DEC(IF(AND(BJ420=3,BD413=0),DEC2HEX(_xlfn.BITXOR(BIN2DEC((RIGHT(HEX2BIN(BD420,8)&amp;LEFT(HEX2BIN($A$1,8),1),8))),HEX2DEC(BD420)),2),IF(AND(BJ420=2,BD413=0),BIN2HEX(RIGHT(HEX2BIN(BD420,8)&amp;LEFT(HEX2BIN($A$1,8),1),8)),IF(AND(BJ420=2,BD413=1),DEC2HEX(_xlfn.BITXOR(BIN2DEC(RIGHT(HEX2BIN(BD420,8)&amp;LEFT(HEX2BIN($A$1,8),1),8)),HEX2DEC($B$1))),IF(AND(BJ420=3,BD413=1),DEC2HEX(_xlfn.BITXOR(_xlfn.BITXOR(BIN2DEC(RIGHT(HEX2BIN(BD420,8)&amp;LEFT(HEX2BIN($A$1,8),1),8)),HEX2DEC($B$1)),HEX2DEC(BD420))),BD420)))))))</f>
        <v>7E</v>
      </c>
      <c r="BO420" s="44" t="str">
        <f>DEC2HEX(_xlfn.BITXOR(_xlfn.BITXOR(_xlfn.BITXOR(HEX2DEC(IF(AND(BG420=3,BE410=0),DEC2HEX(_xlfn.BITXOR(BIN2DEC((RIGHT(HEX2BIN(BE417,8)&amp;LEFT(HEX2BIN($A$1,8),1),8))),HEX2DEC(BE417)),2),IF(AND(BG420=2,BE410=0),BIN2HEX(RIGHT(HEX2BIN(BE417,8)&amp;LEFT(HEX2BIN($A$1,8),1),8)),IF(AND(BG420=2,BE410=1),DEC2HEX(_xlfn.BITXOR(BIN2DEC(RIGHT(HEX2BIN(BE417,8)&amp;LEFT(HEX2BIN($A$1,8),1),8)),HEX2DEC($B$1))),IF(AND(BG420=3,BE410=1),DEC2HEX(_xlfn.BITXOR(_xlfn.BITXOR(BIN2DEC(RIGHT(HEX2BIN(BE417,8)&amp;LEFT(HEX2BIN($A$1,8),1),8)),HEX2DEC($B$1)),HEX2DEC(BE417))),BE417))))),HEX2DEC(IF(AND(BH420=3,BE411=0),DEC2HEX(_xlfn.BITXOR(BIN2DEC((RIGHT(HEX2BIN(BE418,8)&amp;LEFT(HEX2BIN($A$1,8),1),8))),HEX2DEC(BE418)),2),IF(AND(BH420=2,BE411=0),BIN2HEX(RIGHT(HEX2BIN(BE418,8)&amp;LEFT(HEX2BIN($A$1,8),1),8)),IF(AND(BH420=2,BE411=1),DEC2HEX(_xlfn.BITXOR(BIN2DEC(RIGHT(HEX2BIN(BE418,8)&amp;LEFT(HEX2BIN($A$1,8),1),8)),HEX2DEC($B$1))),IF(AND(BH420=3,BE411=1),DEC2HEX(_xlfn.BITXOR(_xlfn.BITXOR(BIN2DEC(RIGHT(HEX2BIN(BE418,8)&amp;LEFT(HEX2BIN($A$1,8),1),8)),HEX2DEC($B$1)),HEX2DEC(BE418))),BE418)))))),HEX2DEC(IF(AND(BI420=3,BE412=0),DEC2HEX(_xlfn.BITXOR(BIN2DEC((RIGHT(HEX2BIN(BE419,8)&amp;LEFT(HEX2BIN($A$1,8),1),8))),HEX2DEC(BE419)),2),IF(AND(BI420=2,BE412=0),BIN2HEX(RIGHT(HEX2BIN(BE419,8)&amp;LEFT(HEX2BIN($A$1,8),1),8)),IF(AND(BI420=2,BE412=1),DEC2HEX(_xlfn.BITXOR(BIN2DEC(RIGHT(HEX2BIN(BE419,8)&amp;LEFT(HEX2BIN($A$1,8),1),8)),HEX2DEC($B$1))),IF(AND(BI420=3,BE412=1),DEC2HEX(_xlfn.BITXOR(_xlfn.BITXOR(BIN2DEC(RIGHT(HEX2BIN(BE419,8)&amp;LEFT(HEX2BIN($A$1,8),1),8)),HEX2DEC($B$1)),HEX2DEC(BE419))),BE419)))))),HEX2DEC(IF(AND(BJ420=3,BE413=0),DEC2HEX(_xlfn.BITXOR(BIN2DEC((RIGHT(HEX2BIN(BE420,8)&amp;LEFT(HEX2BIN($A$1,8),1),8))),HEX2DEC(BE420)),2),IF(AND(BJ420=2,BE413=0),BIN2HEX(RIGHT(HEX2BIN(BE420,8)&amp;LEFT(HEX2BIN($A$1,8),1),8)),IF(AND(BJ420=2,BE413=1),DEC2HEX(_xlfn.BITXOR(BIN2DEC(RIGHT(HEX2BIN(BE420,8)&amp;LEFT(HEX2BIN($A$1,8),1),8)),HEX2DEC($B$1))),IF(AND(BJ420=3,BE413=1),DEC2HEX(_xlfn.BITXOR(_xlfn.BITXOR(BIN2DEC(RIGHT(HEX2BIN(BE420,8)&amp;LEFT(HEX2BIN($A$1,8),1),8)),HEX2DEC($B$1)),HEX2DEC(BE420))),BE420)))))))</f>
        <v>2F</v>
      </c>
      <c r="BS420" s="44" t="s">
        <v>157</v>
      </c>
      <c r="BT420" s="44">
        <v>14</v>
      </c>
      <c r="BU420" s="44" t="s">
        <v>100</v>
      </c>
      <c r="BV420" s="44">
        <v>73</v>
      </c>
    </row>
    <row r="421" spans="2:74" x14ac:dyDescent="0.25">
      <c r="B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BB421" s="43"/>
      <c r="BC421" s="43"/>
      <c r="BD421" s="43"/>
      <c r="BE421" s="43"/>
    </row>
    <row r="422" spans="2:74" x14ac:dyDescent="0.25">
      <c r="B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</row>
    <row r="423" spans="2:74" x14ac:dyDescent="0.25">
      <c r="B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</row>
    <row r="424" spans="2:74" x14ac:dyDescent="0.25">
      <c r="B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</row>
    <row r="425" spans="2:74" x14ac:dyDescent="0.25">
      <c r="B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</row>
    <row r="426" spans="2:74" x14ac:dyDescent="0.25">
      <c r="B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</row>
    <row r="427" spans="2:74" x14ac:dyDescent="0.25">
      <c r="B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</row>
    <row r="428" spans="2:74" x14ac:dyDescent="0.25">
      <c r="B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</row>
    <row r="429" spans="2:74" x14ac:dyDescent="0.25">
      <c r="B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</row>
    <row r="430" spans="2:74" x14ac:dyDescent="0.25">
      <c r="B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</row>
    <row r="431" spans="2:74" x14ac:dyDescent="0.25">
      <c r="B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</row>
    <row r="432" spans="2:74" x14ac:dyDescent="0.25">
      <c r="B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</row>
    <row r="433" spans="2:67" x14ac:dyDescent="0.25">
      <c r="B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</row>
    <row r="434" spans="2:67" x14ac:dyDescent="0.25">
      <c r="B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</row>
    <row r="435" spans="2:67" x14ac:dyDescent="0.25">
      <c r="B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</row>
    <row r="436" spans="2:67" x14ac:dyDescent="0.25">
      <c r="B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</row>
    <row r="437" spans="2:67" x14ac:dyDescent="0.25">
      <c r="B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</row>
    <row r="438" spans="2:67" x14ac:dyDescent="0.25">
      <c r="B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</row>
    <row r="439" spans="2:67" x14ac:dyDescent="0.25">
      <c r="B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</row>
    <row r="440" spans="2:67" x14ac:dyDescent="0.25">
      <c r="B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</row>
    <row r="441" spans="2:67" x14ac:dyDescent="0.25">
      <c r="B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</row>
    <row r="442" spans="2:67" x14ac:dyDescent="0.25">
      <c r="B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</row>
    <row r="443" spans="2:67" x14ac:dyDescent="0.25">
      <c r="B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</row>
    <row r="444" spans="2:67" x14ac:dyDescent="0.25">
      <c r="B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</row>
    <row r="445" spans="2:67" x14ac:dyDescent="0.25">
      <c r="B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BD445"/>
    </row>
    <row r="446" spans="2:67" x14ac:dyDescent="0.25">
      <c r="B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</row>
    <row r="447" spans="2:67" x14ac:dyDescent="0.25">
      <c r="B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Z447" s="1" t="str">
        <f>LEFT(HEX2BIN(BB459,8),1)</f>
        <v>0</v>
      </c>
      <c r="BA447" s="1" t="str">
        <f>HEX2BIN(BB459,8)</f>
        <v>00111010</v>
      </c>
    </row>
    <row r="448" spans="2:67" x14ac:dyDescent="0.25">
      <c r="B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BG448" s="37"/>
      <c r="BH448" s="37"/>
      <c r="BI448" s="37"/>
      <c r="BJ448" t="s">
        <v>179</v>
      </c>
      <c r="BK448"/>
      <c r="BL448" t="s">
        <v>181</v>
      </c>
      <c r="BM448" t="s">
        <v>182</v>
      </c>
      <c r="BN448" t="s">
        <v>180</v>
      </c>
      <c r="BO448" s="37"/>
    </row>
    <row r="449" spans="2:74" x14ac:dyDescent="0.25">
      <c r="B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BG449" s="37"/>
      <c r="BH449" s="37"/>
      <c r="BI449" s="37"/>
      <c r="BJ449" t="str">
        <f>BIN2HEX(RIGHT(HEX2BIN(BB459,8)&amp;LEFT(HEX2BIN($A$1,8),1),8))</f>
        <v>74</v>
      </c>
      <c r="BK449"/>
      <c r="BL449" t="str">
        <f>DEC2HEX(_xlfn.BITXOR(BIN2DEC(RIGHT(HEX2BIN(BC474,8)&amp;LEFT(HEX2BIN($A$1,8),1),8)),HEX2DEC($B$1)))</f>
        <v>1B</v>
      </c>
      <c r="BM449" t="str">
        <f>DEC2HEX(_xlfn.BITXOR(_xlfn.BITXOR(BIN2DEC(RIGHT(HEX2BIN(BC455,8)&amp;LEFT(HEX2BIN($A$1,8),1),8)),HEX2DEC($B$1)),HEX2DEC(BC455)))</f>
        <v>1B</v>
      </c>
      <c r="BN449" t="str">
        <f>DEC2HEX(_xlfn.BITXOR(BIN2DEC((RIGHT(HEX2BIN(BA468,8)&amp;LEFT(HEX2BIN($A$1,8),1),8))),HEX2DEC(BA468)),2)</f>
        <v>00</v>
      </c>
      <c r="BO449" s="37"/>
    </row>
    <row r="450" spans="2:74" x14ac:dyDescent="0.25">
      <c r="B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BG450" s="37"/>
      <c r="BH450" s="37"/>
      <c r="BI450" s="37"/>
      <c r="BJ450" s="37"/>
      <c r="BK450" s="37"/>
      <c r="BL450" s="37"/>
      <c r="BM450" s="37"/>
      <c r="BN450" s="37"/>
      <c r="BO450" s="37"/>
    </row>
    <row r="451" spans="2:74" x14ac:dyDescent="0.25">
      <c r="B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BG451" s="37"/>
      <c r="BH451" s="37"/>
      <c r="BI451" s="37"/>
      <c r="BJ451" s="37"/>
      <c r="BK451" s="37"/>
      <c r="BL451" s="37"/>
      <c r="BM451" s="37"/>
      <c r="BN451" s="37"/>
      <c r="BO451" s="37"/>
    </row>
    <row r="452" spans="2:74" x14ac:dyDescent="0.25">
      <c r="B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BB452" s="75">
        <f>IF(BIN2DEC(LEFT(HEX2BIN(BB459,8),1))=0,0,1)</f>
        <v>0</v>
      </c>
      <c r="BC452" s="75">
        <f>IF(BIN2DEC(LEFT(HEX2BIN(BC459,8),1))=0,0,1)</f>
        <v>0</v>
      </c>
      <c r="BD452" s="75">
        <f>IF(BIN2DEC(LEFT(HEX2BIN(BD459,8),1))=0,0,1)</f>
        <v>1</v>
      </c>
      <c r="BE452" s="75">
        <f>IF(BIN2DEC(LEFT(HEX2BIN(BE459,8),1))=0,0,1)</f>
        <v>1</v>
      </c>
      <c r="BG452" s="37"/>
      <c r="BH452" s="37"/>
      <c r="BI452" s="37"/>
      <c r="BJ452" s="37"/>
      <c r="BK452" s="37"/>
      <c r="BL452" s="37" t="s">
        <v>215</v>
      </c>
      <c r="BM452" s="37"/>
      <c r="BN452" s="37"/>
      <c r="BO452" s="37"/>
    </row>
    <row r="453" spans="2:74" x14ac:dyDescent="0.25">
      <c r="B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BB453" s="75">
        <f t="shared" ref="BB453:BE453" si="256">IF(BIN2DEC(LEFT(HEX2BIN(BB460,8),1))=0,0,1)</f>
        <v>0</v>
      </c>
      <c r="BC453" s="75">
        <f t="shared" si="256"/>
        <v>1</v>
      </c>
      <c r="BD453" s="75">
        <f t="shared" si="256"/>
        <v>0</v>
      </c>
      <c r="BE453" s="75">
        <f t="shared" si="256"/>
        <v>0</v>
      </c>
      <c r="BF453" s="43"/>
      <c r="BG453" s="43"/>
      <c r="BH453" s="43"/>
      <c r="BI453" s="43"/>
      <c r="BJ453" s="43"/>
      <c r="BK453" s="37"/>
      <c r="BL453" s="37" t="str">
        <f>DEC2HEX(_xlfn.BITXOR(_xlfn.BITXOR(_xlfn.BITXOR(HEX2DEC(BK456),HEX2DEC(BL456)),HEX2DEC(BM456)),HEX2DEC(BN456)))</f>
        <v>8B</v>
      </c>
      <c r="BM453" s="37"/>
      <c r="BN453" s="37"/>
      <c r="BO453" s="37"/>
    </row>
    <row r="454" spans="2:74" x14ac:dyDescent="0.25">
      <c r="B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BB454" s="75">
        <f t="shared" ref="BB454:BE454" si="257">IF(BIN2DEC(LEFT(HEX2BIN(BB461,8),1))=0,0,1)</f>
        <v>1</v>
      </c>
      <c r="BC454" s="75">
        <f t="shared" si="257"/>
        <v>1</v>
      </c>
      <c r="BD454" s="75">
        <f t="shared" si="257"/>
        <v>1</v>
      </c>
      <c r="BE454" s="75">
        <f t="shared" si="257"/>
        <v>1</v>
      </c>
      <c r="BF454" s="43"/>
      <c r="BG454" s="43"/>
      <c r="BH454" s="43"/>
      <c r="BI454" s="43"/>
      <c r="BJ454" s="43"/>
      <c r="BK454" s="37"/>
      <c r="BL454" s="37"/>
      <c r="BM454" s="37"/>
      <c r="BN454" s="37"/>
      <c r="BO454" s="37"/>
    </row>
    <row r="455" spans="2:74" x14ac:dyDescent="0.25">
      <c r="B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BB455" s="75">
        <f t="shared" ref="BB455:BE455" si="258">IF(BIN2DEC(LEFT(HEX2BIN(BB462,8),1))=0,0,1)</f>
        <v>0</v>
      </c>
      <c r="BC455" s="75">
        <f t="shared" si="258"/>
        <v>0</v>
      </c>
      <c r="BD455" s="75">
        <f t="shared" si="258"/>
        <v>1</v>
      </c>
      <c r="BE455" s="75">
        <f t="shared" si="258"/>
        <v>0</v>
      </c>
      <c r="BF455" s="43"/>
      <c r="BG455" s="43"/>
      <c r="BH455" s="43"/>
      <c r="BI455" s="43"/>
      <c r="BJ455" s="43"/>
      <c r="BK455" s="37"/>
      <c r="BL455" s="37"/>
      <c r="BM455" s="37"/>
      <c r="BN455" s="37"/>
      <c r="BO455" s="37"/>
    </row>
    <row r="456" spans="2:74" ht="15.75" x14ac:dyDescent="0.25">
      <c r="B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H456" s="76" t="s">
        <v>283</v>
      </c>
      <c r="AW456" s="116" t="s">
        <v>238</v>
      </c>
      <c r="AX456" s="116"/>
      <c r="AY456" s="116"/>
      <c r="AZ456" s="116"/>
      <c r="BF456" s="43"/>
      <c r="BG456" s="43"/>
      <c r="BH456" s="43"/>
      <c r="BI456" s="43"/>
      <c r="BJ456" s="43"/>
      <c r="BK456" t="str">
        <f>DEC2HEX(_xlfn.BITXOR(_xlfn.BITXOR(BIN2DEC(RIGHT(HEX2BIN(BE459,8)&amp;LEFT(HEX2BIN($A$1,8),1),8)),HEX2DEC($B$1)),HEX2DEC(BE459)))</f>
        <v>13</v>
      </c>
      <c r="BL456">
        <f>BE460</f>
        <v>29</v>
      </c>
      <c r="BM456">
        <f>BE461</f>
        <v>97</v>
      </c>
      <c r="BN456" t="str">
        <f>BIN2HEX(RIGHT(HEX2BIN(BE462,8)&amp;LEFT(HEX2BIN($A$1,8),1),8))</f>
        <v>26</v>
      </c>
      <c r="BO456" s="37"/>
    </row>
    <row r="457" spans="2:74" x14ac:dyDescent="0.25">
      <c r="B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BB457" s="43"/>
      <c r="BC457" s="43"/>
      <c r="BD457" s="43"/>
      <c r="BE457" s="43"/>
      <c r="BF457" s="43"/>
      <c r="BG457" s="43"/>
      <c r="BH457" s="43"/>
      <c r="BI457" s="43"/>
      <c r="BJ457" s="43"/>
      <c r="BK457" s="37"/>
      <c r="BL457" s="37"/>
      <c r="BM457" s="37"/>
      <c r="BN457" s="37"/>
      <c r="BO457" s="37"/>
    </row>
    <row r="458" spans="2:74" x14ac:dyDescent="0.25">
      <c r="B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H458" s="116" t="s">
        <v>255</v>
      </c>
      <c r="AI458" s="116"/>
      <c r="AJ458" s="116"/>
      <c r="AK458" s="116"/>
      <c r="AR458" s="116" t="s">
        <v>221</v>
      </c>
      <c r="AS458" s="116"/>
      <c r="AT458" s="116"/>
      <c r="AU458" s="116"/>
      <c r="AW458" s="116" t="s">
        <v>222</v>
      </c>
      <c r="AX458" s="116"/>
      <c r="AY458" s="116"/>
      <c r="AZ458" s="116"/>
      <c r="BB458" s="118" t="s">
        <v>227</v>
      </c>
      <c r="BC458" s="118"/>
      <c r="BD458" s="118"/>
      <c r="BE458" s="118"/>
      <c r="BF458" s="43"/>
      <c r="BG458" s="43"/>
      <c r="BH458" s="43"/>
      <c r="BI458" s="43"/>
      <c r="BJ458" s="43"/>
      <c r="BK458" s="37"/>
      <c r="BL458" s="116" t="s">
        <v>230</v>
      </c>
      <c r="BM458" s="116"/>
      <c r="BN458" s="116"/>
      <c r="BO458" s="116"/>
    </row>
    <row r="459" spans="2:74" x14ac:dyDescent="0.25">
      <c r="B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H459" s="14" t="str">
        <f>V27</f>
        <v>AE</v>
      </c>
      <c r="AI459" s="14" t="str">
        <f>Y27</f>
        <v>36</v>
      </c>
      <c r="AJ459" s="14" t="str">
        <f>AB27</f>
        <v>5B</v>
      </c>
      <c r="AK459" s="14" t="str">
        <f>AE27</f>
        <v>32</v>
      </c>
      <c r="AM459" s="1" t="str">
        <f>BL417</f>
        <v>C</v>
      </c>
      <c r="AN459" s="36" t="str">
        <f t="shared" ref="AN459:AP462" si="259">BM417</f>
        <v>8E</v>
      </c>
      <c r="AO459" s="36" t="str">
        <f t="shared" si="259"/>
        <v>DB</v>
      </c>
      <c r="AP459" s="36" t="str">
        <f t="shared" si="259"/>
        <v>D3</v>
      </c>
      <c r="AR459" s="36" t="str">
        <f>DEC2HEX(_xlfn.BITXOR(HEX2DEC(AH459),HEX2DEC(AM459)))</f>
        <v>A2</v>
      </c>
      <c r="AS459" s="36" t="str">
        <f t="shared" ref="AS459:AS462" si="260">DEC2HEX(_xlfn.BITXOR(HEX2DEC(AI459),HEX2DEC(AN459)))</f>
        <v>B8</v>
      </c>
      <c r="AT459" s="36" t="str">
        <f t="shared" ref="AT459:AT462" si="261">DEC2HEX(_xlfn.BITXOR(HEX2DEC(AJ459),HEX2DEC(AO459)))</f>
        <v>80</v>
      </c>
      <c r="AU459" s="36" t="str">
        <f t="shared" ref="AU459:AU462" si="262">DEC2HEX(_xlfn.BITXOR(HEX2DEC(AK459),HEX2DEC(AP459)))</f>
        <v>E1</v>
      </c>
      <c r="AW459" s="1" t="s">
        <v>272</v>
      </c>
      <c r="AX459" s="1" t="s">
        <v>171</v>
      </c>
      <c r="AY459" s="1" t="s">
        <v>206</v>
      </c>
      <c r="AZ459" s="1" t="s">
        <v>207</v>
      </c>
      <c r="BB459" s="43" t="str">
        <f>AW459</f>
        <v>3A</v>
      </c>
      <c r="BC459" s="43" t="str">
        <f t="shared" ref="BC459" si="263">AX459</f>
        <v>6C</v>
      </c>
      <c r="BD459" s="43" t="str">
        <f t="shared" ref="BD459" si="264">AY459</f>
        <v>CD</v>
      </c>
      <c r="BE459" s="28" t="str">
        <f t="shared" ref="BE459" si="265">AZ459</f>
        <v>F8</v>
      </c>
      <c r="BF459" s="43"/>
      <c r="BG459" s="34">
        <v>2</v>
      </c>
      <c r="BH459" s="34">
        <v>3</v>
      </c>
      <c r="BI459" s="34">
        <v>1</v>
      </c>
      <c r="BJ459" s="34">
        <v>1</v>
      </c>
      <c r="BK459" s="37"/>
      <c r="BL459" s="44" t="str">
        <f>DEC2HEX(_xlfn.BITXOR(_xlfn.BITXOR(_xlfn.BITXOR(HEX2DEC(IF(AND(BG459=3,BB452=0),DEC2HEX(_xlfn.BITXOR(BIN2DEC((RIGHT(HEX2BIN(BB459,8)&amp;LEFT(HEX2BIN($A$1,8),1),8))),HEX2DEC(BB459)),2),IF(AND(BG459=2,BB452=0),BIN2HEX(RIGHT(HEX2BIN(BB459,8)&amp;LEFT(HEX2BIN($A$1,8),1),8)),IF(AND(BG459=2,BB452=1),DEC2HEX(_xlfn.BITXOR(BIN2DEC(RIGHT(HEX2BIN(BB459,8)&amp;LEFT(HEX2BIN($A$1,8),1),8)),HEX2DEC($B$1))),IF(AND(BG459=3,BB452=1),DEC2HEX(_xlfn.BITXOR(_xlfn.BITXOR(BIN2DEC(RIGHT(HEX2BIN(BB459,8)&amp;LEFT(HEX2BIN($A$1,8),1),8)),HEX2DEC($B$1)),HEX2DEC(BB459))),BB459))))),HEX2DEC(IF(AND(BH459=3,BB453=0),DEC2HEX(_xlfn.BITXOR(BIN2DEC((RIGHT(HEX2BIN(BB460,8)&amp;LEFT(HEX2BIN($A$1,8),1),8))),HEX2DEC(BB460)),2),IF(AND(BH459=2,BB453=0),BIN2HEX(RIGHT(HEX2BIN(BB460,8)&amp;LEFT(HEX2BIN($A$1,8),1),8)),IF(AND(BH459=2,BB453=1),DEC2HEX(_xlfn.BITXOR(BIN2DEC(RIGHT(HEX2BIN(BB460,8)&amp;LEFT(HEX2BIN($A$1,8),1),8)),HEX2DEC($B$1))),IF(AND(BH459=3,BB453=1),DEC2HEX(_xlfn.BITXOR(_xlfn.BITXOR(BIN2DEC(RIGHT(HEX2BIN(BB460,8)&amp;LEFT(HEX2BIN($A$1,8),1),8)),HEX2DEC($B$1)),HEX2DEC(BB460))),BB460)))))),HEX2DEC(IF(AND(BI459=3,BB454=0),DEC2HEX(_xlfn.BITXOR(BIN2DEC((RIGHT(HEX2BIN(BB461,8)&amp;LEFT(HEX2BIN($A$1,8),1),8))),HEX2DEC(BB461)),2),IF(AND(BI459=2,BB454=0),BIN2HEX(RIGHT(HEX2BIN(BB461,8)&amp;LEFT(HEX2BIN($A$1,8),1),8)),IF(AND(BI459=2,BB454=1),DEC2HEX(_xlfn.BITXOR(BIN2DEC(RIGHT(HEX2BIN(BB461,8)&amp;LEFT(HEX2BIN($A$1,8),1),8)),HEX2DEC($B$1))),IF(AND(BI459=3,BB454=1),DEC2HEX(_xlfn.BITXOR(_xlfn.BITXOR(BIN2DEC(RIGHT(HEX2BIN(BB461,8)&amp;LEFT(HEX2BIN($A$1,8),1),8)),HEX2DEC($B$1)),HEX2DEC(BB461))),BB461)))))),HEX2DEC(IF(AND(BJ459=3,BB455=0),DEC2HEX(_xlfn.BITXOR(BIN2DEC((RIGHT(HEX2BIN(BB462,8)&amp;LEFT(HEX2BIN($A$1,8),1),8))),HEX2DEC(BB462)),2),IF(AND(BJ459=2,BB455=0),BIN2HEX(RIGHT(HEX2BIN(BB462,8)&amp;LEFT(HEX2BIN($A$1,8),1),8)),IF(AND(BJ459=2,BB455=1),DEC2HEX(_xlfn.BITXOR(BIN2DEC(RIGHT(HEX2BIN(BB462,8)&amp;LEFT(HEX2BIN($A$1,8),1),8)),HEX2DEC($B$1))),IF(AND(BJ459=3,BB455=1),DEC2HEX(_xlfn.BITXOR(_xlfn.BITXOR(BIN2DEC(RIGHT(HEX2BIN(BB462,8)&amp;LEFT(HEX2BIN($A$1,8),1),8)),HEX2DEC($B$1)),HEX2DEC(BB462))),BB462)))))))</f>
        <v>5F</v>
      </c>
      <c r="BM459" s="44" t="str">
        <f>DEC2HEX(_xlfn.BITXOR(_xlfn.BITXOR(_xlfn.BITXOR(HEX2DEC(IF(AND(BG459=3,BC452=0),DEC2HEX(_xlfn.BITXOR(BIN2DEC((RIGHT(HEX2BIN(BC459,8)&amp;LEFT(HEX2BIN($A$1,8),1),8))),HEX2DEC(BC459)),2),IF(AND(BG459=2,BC452=0),BIN2HEX(RIGHT(HEX2BIN(BC459,8)&amp;LEFT(HEX2BIN($A$1,8),1),8)),IF(AND(BG459=2,BC452=1),DEC2HEX(_xlfn.BITXOR(BIN2DEC(RIGHT(HEX2BIN(BC459,8)&amp;LEFT(HEX2BIN($A$1,8),1),8)),HEX2DEC($B$1))),IF(AND(BG459=3,BC452=1),DEC2HEX(_xlfn.BITXOR(_xlfn.BITXOR(BIN2DEC(RIGHT(HEX2BIN(BC459,8)&amp;LEFT(HEX2BIN($A$1,8),1),8)),HEX2DEC($B$1)),HEX2DEC(BC459))),BC459))))),HEX2DEC(IF(AND(BH459=3,BC453=0),DEC2HEX(_xlfn.BITXOR(BIN2DEC((RIGHT(HEX2BIN(BC460,8)&amp;LEFT(HEX2BIN($A$1,8),1),8))),HEX2DEC(BC460)),2),IF(AND(BH459=2,BC453=0),BIN2HEX(RIGHT(HEX2BIN(BC460,8)&amp;LEFT(HEX2BIN($A$1,8),1),8)),IF(AND(BH459=2,BC453=1),DEC2HEX(_xlfn.BITXOR(BIN2DEC(RIGHT(HEX2BIN(BC460,8)&amp;LEFT(HEX2BIN($A$1,8),1),8)),HEX2DEC($B$1))),IF(AND(BH459=3,BC453=1),DEC2HEX(_xlfn.BITXOR(_xlfn.BITXOR(BIN2DEC(RIGHT(HEX2BIN(BC460,8)&amp;LEFT(HEX2BIN($A$1,8),1),8)),HEX2DEC($B$1)),HEX2DEC(BC460))),BC460)))))),HEX2DEC(IF(AND(BI459=3,BC454=0),DEC2HEX(_xlfn.BITXOR(BIN2DEC((RIGHT(HEX2BIN(BC461,8)&amp;LEFT(HEX2BIN($A$1,8),1),8))),HEX2DEC(BC461)),2),IF(AND(BI459=2,BC454=0),BIN2HEX(RIGHT(HEX2BIN(BC461,8)&amp;LEFT(HEX2BIN($A$1,8),1),8)),IF(AND(BI459=2,BC454=1),DEC2HEX(_xlfn.BITXOR(BIN2DEC(RIGHT(HEX2BIN(BC461,8)&amp;LEFT(HEX2BIN($A$1,8),1),8)),HEX2DEC($B$1))),IF(AND(BI459=3,BC454=1),DEC2HEX(_xlfn.BITXOR(_xlfn.BITXOR(BIN2DEC(RIGHT(HEX2BIN(BC461,8)&amp;LEFT(HEX2BIN($A$1,8),1),8)),HEX2DEC($B$1)),HEX2DEC(BC461))),BC461)))))),HEX2DEC(IF(AND(BJ459=3,BC455=0),DEC2HEX(_xlfn.BITXOR(BIN2DEC((RIGHT(HEX2BIN(BC462,8)&amp;LEFT(HEX2BIN($A$1,8),1),8))),HEX2DEC(BC462)),2),IF(AND(BJ459=2,BC455=0),BIN2HEX(RIGHT(HEX2BIN(BC462,8)&amp;LEFT(HEX2BIN($A$1,8),1),8)),IF(AND(BJ459=2,BC455=1),DEC2HEX(_xlfn.BITXOR(BIN2DEC(RIGHT(HEX2BIN(BC462,8)&amp;LEFT(HEX2BIN($A$1,8),1),8)),HEX2DEC($B$1))),IF(AND(BJ459=3,BC455=1),DEC2HEX(_xlfn.BITXOR(_xlfn.BITXOR(BIN2DEC(RIGHT(HEX2BIN(BC462,8)&amp;LEFT(HEX2BIN($A$1,8),1),8)),HEX2DEC($B$1)),HEX2DEC(BC462))),BC462)))))))</f>
        <v>4F</v>
      </c>
      <c r="BN459" s="41" t="str">
        <f>DEC2HEX(_xlfn.BITXOR(_xlfn.BITXOR(_xlfn.BITXOR(HEX2DEC(IF(AND(BG459=3,BD452=0),DEC2HEX(_xlfn.BITXOR(BIN2DEC((RIGHT(HEX2BIN(BD459,8)&amp;LEFT(HEX2BIN($A$1,8),1),8))),HEX2DEC(BD459)),2),IF(AND(BG459=2,BD452=0),BIN2HEX(RIGHT(HEX2BIN(BD459,8)&amp;LEFT(HEX2BIN($A$1,8),1),8)),IF(AND(BG459=2,BD452=1),DEC2HEX(_xlfn.BITXOR(BIN2DEC(RIGHT(HEX2BIN(BD459,8)&amp;LEFT(HEX2BIN($A$1,8),1),8)),HEX2DEC($B$1))),IF(AND(BG459=3,BD452=1),DEC2HEX(_xlfn.BITXOR(_xlfn.BITXOR(BIN2DEC(RIGHT(HEX2BIN(BD459,8)&amp;LEFT(HEX2BIN($A$1,8),1),8)),HEX2DEC($B$1)),HEX2DEC(BD459))),BD459))))),HEX2DEC(IF(AND(BH459=3,BD453=0),DEC2HEX(_xlfn.BITXOR(BIN2DEC((RIGHT(HEX2BIN(BD460,8)&amp;LEFT(HEX2BIN($A$1,8),1),8))),HEX2DEC(BD460)),2),IF(AND(BH459=2,BD453=0),BIN2HEX(RIGHT(HEX2BIN(BD460,8)&amp;LEFT(HEX2BIN($A$1,8),1),8)),IF(AND(BH459=2,BD453=1),DEC2HEX(_xlfn.BITXOR(BIN2DEC(RIGHT(HEX2BIN(BD460,8)&amp;LEFT(HEX2BIN($A$1,8),1),8)),HEX2DEC($B$1))),IF(AND(BH459=3,BD453=1),DEC2HEX(_xlfn.BITXOR(_xlfn.BITXOR(BIN2DEC(RIGHT(HEX2BIN(BD460,8)&amp;LEFT(HEX2BIN($A$1,8),1),8)),HEX2DEC($B$1)),HEX2DEC(BD460))),BD460)))))),HEX2DEC(IF(AND(BI459=3,BD454=0),DEC2HEX(_xlfn.BITXOR(BIN2DEC((RIGHT(HEX2BIN(BD461,8)&amp;LEFT(HEX2BIN($A$1,8),1),8))),HEX2DEC(BD461)),2),IF(AND(BI459=2,BD454=0),BIN2HEX(RIGHT(HEX2BIN(BD461,8)&amp;LEFT(HEX2BIN($A$1,8),1),8)),IF(AND(BI459=2,BD454=1),DEC2HEX(_xlfn.BITXOR(BIN2DEC(RIGHT(HEX2BIN(BD461,8)&amp;LEFT(HEX2BIN($A$1,8),1),8)),HEX2DEC($B$1))),IF(AND(BI459=3,BD454=1),DEC2HEX(_xlfn.BITXOR(_xlfn.BITXOR(BIN2DEC(RIGHT(HEX2BIN(BD461,8)&amp;LEFT(HEX2BIN($A$1,8),1),8)),HEX2DEC($B$1)),HEX2DEC(BD461))),BD461)))))),HEX2DEC(IF(AND(BJ459=3,BD455=0),DEC2HEX(_xlfn.BITXOR(BIN2DEC((RIGHT(HEX2BIN(BD462,8)&amp;LEFT(HEX2BIN($A$1,8),1),8))),HEX2DEC(BD462)),2),IF(AND(BJ459=2,BD455=0),BIN2HEX(RIGHT(HEX2BIN(BD462,8)&amp;LEFT(HEX2BIN($A$1,8),1),8)),IF(AND(BJ459=2,BD455=1),DEC2HEX(_xlfn.BITXOR(BIN2DEC(RIGHT(HEX2BIN(BD462,8)&amp;LEFT(HEX2BIN($A$1,8),1),8)),HEX2DEC($B$1))),IF(AND(BJ459=3,BD455=1),DEC2HEX(_xlfn.BITXOR(_xlfn.BITXOR(BIN2DEC(RIGHT(HEX2BIN(BD462,8)&amp;LEFT(HEX2BIN($A$1,8),1),8)),HEX2DEC($B$1)),HEX2DEC(BD462))),BD462)))))))</f>
        <v>19</v>
      </c>
      <c r="BO459" s="44" t="str">
        <f>DEC2HEX(_xlfn.BITXOR(_xlfn.BITXOR(_xlfn.BITXOR(HEX2DEC(IF(AND(BG459=3,BE452=0),DEC2HEX(_xlfn.BITXOR(BIN2DEC((RIGHT(HEX2BIN(BE459,8)&amp;LEFT(HEX2BIN($A$1,8),1),8))),HEX2DEC(BE459)),2),IF(AND(BG459=2,BE452=0),BIN2HEX(RIGHT(HEX2BIN(BE459,8)&amp;LEFT(HEX2BIN($A$1,8),1),8)),IF(AND(BG459=2,BE452=1),DEC2HEX(_xlfn.BITXOR(BIN2DEC(RIGHT(HEX2BIN(BE459,8)&amp;LEFT(HEX2BIN($A$1,8),1),8)),HEX2DEC($B$1))),IF(AND(BG459=3,BE452=1),DEC2HEX(_xlfn.BITXOR(_xlfn.BITXOR(BIN2DEC(RIGHT(HEX2BIN(BE459,8)&amp;LEFT(HEX2BIN($A$1,8),1),8)),HEX2DEC($B$1)),HEX2DEC(BE459))),BE459))))),HEX2DEC(IF(AND(BH459=3,BE453=0),DEC2HEX(_xlfn.BITXOR(BIN2DEC((RIGHT(HEX2BIN(BE460,8)&amp;LEFT(HEX2BIN($A$1,8),1),8))),HEX2DEC(BE460)),2),IF(AND(BH459=2,BE453=0),BIN2HEX(RIGHT(HEX2BIN(BE460,8)&amp;LEFT(HEX2BIN($A$1,8),1),8)),IF(AND(BH459=2,BE453=1),DEC2HEX(_xlfn.BITXOR(BIN2DEC(RIGHT(HEX2BIN(BE460,8)&amp;LEFT(HEX2BIN($A$1,8),1),8)),HEX2DEC($B$1))),IF(AND(BH459=3,BE453=1),DEC2HEX(_xlfn.BITXOR(_xlfn.BITXOR(BIN2DEC(RIGHT(HEX2BIN(BE460,8)&amp;LEFT(HEX2BIN($A$1,8),1),8)),HEX2DEC($B$1)),HEX2DEC(BE460))),BE460)))))),HEX2DEC(IF(AND(BI459=3,BE454=0),DEC2HEX(_xlfn.BITXOR(BIN2DEC((RIGHT(HEX2BIN(BE461,8)&amp;LEFT(HEX2BIN($A$1,8),1),8))),HEX2DEC(BE461)),2),IF(AND(BI459=2,BE454=0),BIN2HEX(RIGHT(HEX2BIN(BE461,8)&amp;LEFT(HEX2BIN($A$1,8),1),8)),IF(AND(BI459=2,BE454=1),DEC2HEX(_xlfn.BITXOR(BIN2DEC(RIGHT(HEX2BIN(BE461,8)&amp;LEFT(HEX2BIN($A$1,8),1),8)),HEX2DEC($B$1))),IF(AND(BI459=3,BE454=1),DEC2HEX(_xlfn.BITXOR(_xlfn.BITXOR(BIN2DEC(RIGHT(HEX2BIN(BE461,8)&amp;LEFT(HEX2BIN($A$1,8),1),8)),HEX2DEC($B$1)),HEX2DEC(BE461))),BE461)))))),HEX2DEC(IF(AND(BJ459=3,BE455=0),DEC2HEX(_xlfn.BITXOR(BIN2DEC((RIGHT(HEX2BIN(BE462,8)&amp;LEFT(HEX2BIN($A$1,8),1),8))),HEX2DEC(BE462)),2),IF(AND(BJ459=2,BE455=0),BIN2HEX(RIGHT(HEX2BIN(BE462,8)&amp;LEFT(HEX2BIN($A$1,8),1),8)),IF(AND(BJ459=2,BE455=1),DEC2HEX(_xlfn.BITXOR(BIN2DEC(RIGHT(HEX2BIN(BE462,8)&amp;LEFT(HEX2BIN($A$1,8),1),8)),HEX2DEC($B$1))),IF(AND(BJ459=3,BE455=1),DEC2HEX(_xlfn.BITXOR(_xlfn.BITXOR(BIN2DEC(RIGHT(HEX2BIN(BE462,8)&amp;LEFT(HEX2BIN($A$1,8),1),8)),HEX2DEC($B$1)),HEX2DEC(BE462))),BE462)))))))</f>
        <v>14</v>
      </c>
      <c r="BS459" s="44">
        <v>71</v>
      </c>
      <c r="BT459" s="44" t="s">
        <v>195</v>
      </c>
      <c r="BU459" s="44" t="s">
        <v>171</v>
      </c>
      <c r="BV459" s="44">
        <v>77</v>
      </c>
    </row>
    <row r="460" spans="2:74" x14ac:dyDescent="0.25">
      <c r="B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H460" s="14" t="str">
        <f t="shared" ref="AH460:AH462" si="266">V28</f>
        <v>83</v>
      </c>
      <c r="AI460" s="14" t="str">
        <f t="shared" ref="AI460:AI462" si="267">Y28</f>
        <v>F6</v>
      </c>
      <c r="AJ460" s="14" t="str">
        <f t="shared" ref="AJ460:AJ462" si="268">AB28</f>
        <v>F6</v>
      </c>
      <c r="AK460" s="14" t="str">
        <f t="shared" ref="AK460:AK462" si="269">AE28</f>
        <v>47</v>
      </c>
      <c r="AM460" s="36" t="str">
        <f t="shared" ref="AM460:AM462" si="270">BL418</f>
        <v>CF</v>
      </c>
      <c r="AN460" s="36" t="str">
        <f t="shared" si="259"/>
        <v>1</v>
      </c>
      <c r="AO460" s="36" t="str">
        <f t="shared" si="259"/>
        <v>6A</v>
      </c>
      <c r="AP460" s="36" t="str">
        <f t="shared" si="259"/>
        <v>78</v>
      </c>
      <c r="AR460" s="36" t="str">
        <f t="shared" ref="AR460:AR462" si="271">DEC2HEX(_xlfn.BITXOR(HEX2DEC(AH460),HEX2DEC(AM460)))</f>
        <v>4C</v>
      </c>
      <c r="AS460" s="36" t="str">
        <f t="shared" si="260"/>
        <v>F7</v>
      </c>
      <c r="AT460" s="36" t="str">
        <f t="shared" si="261"/>
        <v>9C</v>
      </c>
      <c r="AU460" s="36" t="str">
        <f t="shared" si="262"/>
        <v>3F</v>
      </c>
      <c r="AW460" s="1">
        <v>29</v>
      </c>
      <c r="AX460" s="1">
        <v>68</v>
      </c>
      <c r="AY460" s="1" t="s">
        <v>196</v>
      </c>
      <c r="AZ460" s="1">
        <v>75</v>
      </c>
      <c r="BB460" s="43">
        <f>AX460</f>
        <v>68</v>
      </c>
      <c r="BC460" s="43" t="str">
        <f t="shared" ref="BC460" si="272">AY460</f>
        <v>DE</v>
      </c>
      <c r="BD460" s="43">
        <f t="shared" ref="BD460" si="273">AZ460</f>
        <v>75</v>
      </c>
      <c r="BE460" s="29">
        <f>AW460</f>
        <v>29</v>
      </c>
      <c r="BF460" s="43"/>
      <c r="BG460" s="34">
        <v>1</v>
      </c>
      <c r="BH460" s="34">
        <v>2</v>
      </c>
      <c r="BI460" s="34">
        <v>3</v>
      </c>
      <c r="BJ460" s="34">
        <v>1</v>
      </c>
      <c r="BK460" s="37"/>
      <c r="BL460" s="44" t="str">
        <f>DEC2HEX(_xlfn.BITXOR(_xlfn.BITXOR(_xlfn.BITXOR(HEX2DEC(IF(AND(BG460=3,BB452=0),DEC2HEX(_xlfn.BITXOR(BIN2DEC((RIGHT(HEX2BIN(BB459,8)&amp;LEFT(HEX2BIN($A$1,8),1),8))),HEX2DEC(BB459)),2),IF(AND(BG460=2,BB452=0),BIN2HEX(RIGHT(HEX2BIN(BB459,8)&amp;LEFT(HEX2BIN($A$1,8),1),8)),IF(AND(BG460=2,BB452=1),DEC2HEX(_xlfn.BITXOR(BIN2DEC(RIGHT(HEX2BIN(BB459,8)&amp;LEFT(HEX2BIN($A$1,8),1),8)),HEX2DEC($B$1))),IF(AND(BG460=3,BB452=1),DEC2HEX(_xlfn.BITXOR(_xlfn.BITXOR(BIN2DEC(RIGHT(HEX2BIN(BB459,8)&amp;LEFT(HEX2BIN($A$1,8),1),8)),HEX2DEC($B$1)),HEX2DEC(BB459))),BB459))))),HEX2DEC(IF(AND(BH460=3,BB453=0),DEC2HEX(_xlfn.BITXOR(BIN2DEC((RIGHT(HEX2BIN(BB460,8)&amp;LEFT(HEX2BIN($A$1,8),1),8))),HEX2DEC(BB460)),2),IF(AND(BH460=2,BB453=0),BIN2HEX(RIGHT(HEX2BIN(BB460,8)&amp;LEFT(HEX2BIN($A$1,8),1),8)),IF(AND(BH460=2,BB453=1),DEC2HEX(_xlfn.BITXOR(BIN2DEC(RIGHT(HEX2BIN(BB460,8)&amp;LEFT(HEX2BIN($A$1,8),1),8)),HEX2DEC($B$1))),IF(AND(BH460=3,BB453=1),DEC2HEX(_xlfn.BITXOR(_xlfn.BITXOR(BIN2DEC(RIGHT(HEX2BIN(BB460,8)&amp;LEFT(HEX2BIN($A$1,8),1),8)),HEX2DEC($B$1)),HEX2DEC(BB460))),BB460)))))),HEX2DEC(IF(AND(BI460=3,BB454=0),DEC2HEX(_xlfn.BITXOR(BIN2DEC((RIGHT(HEX2BIN(BB461,8)&amp;LEFT(HEX2BIN($A$1,8),1),8))),HEX2DEC(BB461)),2),IF(AND(BI460=2,BB454=0),BIN2HEX(RIGHT(HEX2BIN(BB461,8)&amp;LEFT(HEX2BIN($A$1,8),1),8)),IF(AND(BI460=2,BB454=1),DEC2HEX(_xlfn.BITXOR(BIN2DEC(RIGHT(HEX2BIN(BB461,8)&amp;LEFT(HEX2BIN($A$1,8),1),8)),HEX2DEC($B$1))),IF(AND(BI460=3,BB454=1),DEC2HEX(_xlfn.BITXOR(_xlfn.BITXOR(BIN2DEC(RIGHT(HEX2BIN(BB461,8)&amp;LEFT(HEX2BIN($A$1,8),1),8)),HEX2DEC($B$1)),HEX2DEC(BB461))),BB461)))))),HEX2DEC(IF(AND(BJ460=3,BB455=0),DEC2HEX(_xlfn.BITXOR(BIN2DEC((RIGHT(HEX2BIN(BB462,8)&amp;LEFT(HEX2BIN($A$1,8),1),8))),HEX2DEC(BB462)),2),IF(AND(BJ460=2,BB455=0),BIN2HEX(RIGHT(HEX2BIN(BB462,8)&amp;LEFT(HEX2BIN($A$1,8),1),8)),IF(AND(BJ460=2,BB455=1),DEC2HEX(_xlfn.BITXOR(BIN2DEC(RIGHT(HEX2BIN(BB462,8)&amp;LEFT(HEX2BIN($A$1,8),1),8)),HEX2DEC($B$1))),IF(AND(BJ460=3,BB455=1),DEC2HEX(_xlfn.BITXOR(_xlfn.BITXOR(BIN2DEC(RIGHT(HEX2BIN(BB462,8)&amp;LEFT(HEX2BIN($A$1,8),1),8)),HEX2DEC($B$1)),HEX2DEC(BB462))),BB462)))))))</f>
        <v>36</v>
      </c>
      <c r="BM460" s="44" t="str">
        <f>DEC2HEX(_xlfn.BITXOR(_xlfn.BITXOR(_xlfn.BITXOR(HEX2DEC(IF(AND(BG460=3,BC452=0),DEC2HEX(_xlfn.BITXOR(BIN2DEC((RIGHT(HEX2BIN(BC459,8)&amp;LEFT(HEX2BIN($A$1,8),1),8))),HEX2DEC(BC459)),2),IF(AND(BG460=2,BC452=0),BIN2HEX(RIGHT(HEX2BIN(BC459,8)&amp;LEFT(HEX2BIN($A$1,8),1),8)),IF(AND(BG460=2,BC452=1),DEC2HEX(_xlfn.BITXOR(BIN2DEC(RIGHT(HEX2BIN(BC459,8)&amp;LEFT(HEX2BIN($A$1,8),1),8)),HEX2DEC($B$1))),IF(AND(BG460=3,BC452=1),DEC2HEX(_xlfn.BITXOR(_xlfn.BITXOR(BIN2DEC(RIGHT(HEX2BIN(BC459,8)&amp;LEFT(HEX2BIN($A$1,8),1),8)),HEX2DEC($B$1)),HEX2DEC(BC459))),BC459))))),HEX2DEC(IF(AND(BH460=3,BC453=0),DEC2HEX(_xlfn.BITXOR(BIN2DEC((RIGHT(HEX2BIN(BC460,8)&amp;LEFT(HEX2BIN($A$1,8),1),8))),HEX2DEC(BC460)),2),IF(AND(BH460=2,BC453=0),BIN2HEX(RIGHT(HEX2BIN(BC460,8)&amp;LEFT(HEX2BIN($A$1,8),1),8)),IF(AND(BH460=2,BC453=1),DEC2HEX(_xlfn.BITXOR(BIN2DEC(RIGHT(HEX2BIN(BC460,8)&amp;LEFT(HEX2BIN($A$1,8),1),8)),HEX2DEC($B$1))),IF(AND(BH460=3,BC453=1),DEC2HEX(_xlfn.BITXOR(_xlfn.BITXOR(BIN2DEC(RIGHT(HEX2BIN(BC460,8)&amp;LEFT(HEX2BIN($A$1,8),1),8)),HEX2DEC($B$1)),HEX2DEC(BC460))),BC460)))))),HEX2DEC(IF(AND(BI460=3,BC454=0),DEC2HEX(_xlfn.BITXOR(BIN2DEC((RIGHT(HEX2BIN(BC461,8)&amp;LEFT(HEX2BIN($A$1,8),1),8))),HEX2DEC(BC461)),2),IF(AND(BI460=2,BC454=0),BIN2HEX(RIGHT(HEX2BIN(BC461,8)&amp;LEFT(HEX2BIN($A$1,8),1),8)),IF(AND(BI460=2,BC454=1),DEC2HEX(_xlfn.BITXOR(BIN2DEC(RIGHT(HEX2BIN(BC461,8)&amp;LEFT(HEX2BIN($A$1,8),1),8)),HEX2DEC($B$1))),IF(AND(BI460=3,BC454=1),DEC2HEX(_xlfn.BITXOR(_xlfn.BITXOR(BIN2DEC(RIGHT(HEX2BIN(BC461,8)&amp;LEFT(HEX2BIN($A$1,8),1),8)),HEX2DEC($B$1)),HEX2DEC(BC461))),BC461)))))),HEX2DEC(IF(AND(BJ460=3,BC455=0),DEC2HEX(_xlfn.BITXOR(BIN2DEC((RIGHT(HEX2BIN(BC462,8)&amp;LEFT(HEX2BIN($A$1,8),1),8))),HEX2DEC(BC462)),2),IF(AND(BJ460=2,BC455=0),BIN2HEX(RIGHT(HEX2BIN(BC462,8)&amp;LEFT(HEX2BIN($A$1,8),1),8)),IF(AND(BJ460=2,BC455=1),DEC2HEX(_xlfn.BITXOR(BIN2DEC(RIGHT(HEX2BIN(BC462,8)&amp;LEFT(HEX2BIN($A$1,8),1),8)),HEX2DEC($B$1))),IF(AND(BJ460=3,BC455=1),DEC2HEX(_xlfn.BITXOR(_xlfn.BITXOR(BIN2DEC(RIGHT(HEX2BIN(BC462,8)&amp;LEFT(HEX2BIN($A$1,8),1),8)),HEX2DEC($B$1)),HEX2DEC(BC462))),BC462)))))))</f>
        <v>28</v>
      </c>
      <c r="BN460" s="44" t="str">
        <f>DEC2HEX(_xlfn.BITXOR(_xlfn.BITXOR(_xlfn.BITXOR(HEX2DEC(IF(AND(BG460=3,BD452=0),DEC2HEX(_xlfn.BITXOR(BIN2DEC((RIGHT(HEX2BIN(BD459,8)&amp;LEFT(HEX2BIN($A$1,8),1),8))),HEX2DEC(BD459)),2),IF(AND(BG460=2,BD452=0),BIN2HEX(RIGHT(HEX2BIN(BD459,8)&amp;LEFT(HEX2BIN($A$1,8),1),8)),IF(AND(BG460=2,BD452=1),DEC2HEX(_xlfn.BITXOR(BIN2DEC(RIGHT(HEX2BIN(BD459,8)&amp;LEFT(HEX2BIN($A$1,8),1),8)),HEX2DEC($B$1))),IF(AND(BG460=3,BD452=1),DEC2HEX(_xlfn.BITXOR(_xlfn.BITXOR(BIN2DEC(RIGHT(HEX2BIN(BD459,8)&amp;LEFT(HEX2BIN($A$1,8),1),8)),HEX2DEC($B$1)),HEX2DEC(BD459))),BD459))))),HEX2DEC(IF(AND(BH460=3,BD453=0),DEC2HEX(_xlfn.BITXOR(BIN2DEC((RIGHT(HEX2BIN(BD460,8)&amp;LEFT(HEX2BIN($A$1,8),1),8))),HEX2DEC(BD460)),2),IF(AND(BH460=2,BD453=0),BIN2HEX(RIGHT(HEX2BIN(BD460,8)&amp;LEFT(HEX2BIN($A$1,8),1),8)),IF(AND(BH460=2,BD453=1),DEC2HEX(_xlfn.BITXOR(BIN2DEC(RIGHT(HEX2BIN(BD460,8)&amp;LEFT(HEX2BIN($A$1,8),1),8)),HEX2DEC($B$1))),IF(AND(BH460=3,BD453=1),DEC2HEX(_xlfn.BITXOR(_xlfn.BITXOR(BIN2DEC(RIGHT(HEX2BIN(BD460,8)&amp;LEFT(HEX2BIN($A$1,8),1),8)),HEX2DEC($B$1)),HEX2DEC(BD460))),BD460)))))),HEX2DEC(IF(AND(BI460=3,BD454=0),DEC2HEX(_xlfn.BITXOR(BIN2DEC((RIGHT(HEX2BIN(BD461,8)&amp;LEFT(HEX2BIN($A$1,8),1),8))),HEX2DEC(BD461)),2),IF(AND(BI460=2,BD454=0),BIN2HEX(RIGHT(HEX2BIN(BD461,8)&amp;LEFT(HEX2BIN($A$1,8),1),8)),IF(AND(BI460=2,BD454=1),DEC2HEX(_xlfn.BITXOR(BIN2DEC(RIGHT(HEX2BIN(BD461,8)&amp;LEFT(HEX2BIN($A$1,8),1),8)),HEX2DEC($B$1))),IF(AND(BI460=3,BD454=1),DEC2HEX(_xlfn.BITXOR(_xlfn.BITXOR(BIN2DEC(RIGHT(HEX2BIN(BD461,8)&amp;LEFT(HEX2BIN($A$1,8),1),8)),HEX2DEC($B$1)),HEX2DEC(BD461))),BD461)))))),HEX2DEC(IF(AND(BJ460=3,BD455=0),DEC2HEX(_xlfn.BITXOR(BIN2DEC((RIGHT(HEX2BIN(BD462,8)&amp;LEFT(HEX2BIN($A$1,8),1),8))),HEX2DEC(BD462)),2),IF(AND(BJ460=2,BD455=0),BIN2HEX(RIGHT(HEX2BIN(BD462,8)&amp;LEFT(HEX2BIN($A$1,8),1),8)),IF(AND(BJ460=2,BD455=1),DEC2HEX(_xlfn.BITXOR(BIN2DEC(RIGHT(HEX2BIN(BD462,8)&amp;LEFT(HEX2BIN($A$1,8),1),8)),HEX2DEC($B$1))),IF(AND(BJ460=3,BD455=1),DEC2HEX(_xlfn.BITXOR(_xlfn.BITXOR(BIN2DEC(RIGHT(HEX2BIN(BD462,8)&amp;LEFT(HEX2BIN($A$1,8),1),8)),HEX2DEC($B$1)),HEX2DEC(BD462))),BD462)))))))</f>
        <v>B1</v>
      </c>
      <c r="BO460" s="44" t="str">
        <f>DEC2HEX(_xlfn.BITXOR(_xlfn.BITXOR(_xlfn.BITXOR(HEX2DEC(IF(AND(BG460=3,BE452=0),DEC2HEX(_xlfn.BITXOR(BIN2DEC((RIGHT(HEX2BIN(BE459,8)&amp;LEFT(HEX2BIN($A$1,8),1),8))),HEX2DEC(BE459)),2),IF(AND(BG460=2,BE452=0),BIN2HEX(RIGHT(HEX2BIN(BE459,8)&amp;LEFT(HEX2BIN($A$1,8),1),8)),IF(AND(BG460=2,BE452=1),DEC2HEX(_xlfn.BITXOR(BIN2DEC(RIGHT(HEX2BIN(BE459,8)&amp;LEFT(HEX2BIN($A$1,8),1),8)),HEX2DEC($B$1))),IF(AND(BG460=3,BE452=1),DEC2HEX(_xlfn.BITXOR(_xlfn.BITXOR(BIN2DEC(RIGHT(HEX2BIN(BE459,8)&amp;LEFT(HEX2BIN($A$1,8),1),8)),HEX2DEC($B$1)),HEX2DEC(BE459))),BE459))))),HEX2DEC(IF(AND(BH460=3,BE453=0),DEC2HEX(_xlfn.BITXOR(BIN2DEC((RIGHT(HEX2BIN(BE460,8)&amp;LEFT(HEX2BIN($A$1,8),1),8))),HEX2DEC(BE460)),2),IF(AND(BH460=2,BE453=0),BIN2HEX(RIGHT(HEX2BIN(BE460,8)&amp;LEFT(HEX2BIN($A$1,8),1),8)),IF(AND(BH460=2,BE453=1),DEC2HEX(_xlfn.BITXOR(BIN2DEC(RIGHT(HEX2BIN(BE460,8)&amp;LEFT(HEX2BIN($A$1,8),1),8)),HEX2DEC($B$1))),IF(AND(BH460=3,BE453=1),DEC2HEX(_xlfn.BITXOR(_xlfn.BITXOR(BIN2DEC(RIGHT(HEX2BIN(BE460,8)&amp;LEFT(HEX2BIN($A$1,8),1),8)),HEX2DEC($B$1)),HEX2DEC(BE460))),BE460)))))),HEX2DEC(IF(AND(BI460=3,BE454=0),DEC2HEX(_xlfn.BITXOR(BIN2DEC((RIGHT(HEX2BIN(BE461,8)&amp;LEFT(HEX2BIN($A$1,8),1),8))),HEX2DEC(BE461)),2),IF(AND(BI460=2,BE454=0),BIN2HEX(RIGHT(HEX2BIN(BE461,8)&amp;LEFT(HEX2BIN($A$1,8),1),8)),IF(AND(BI460=2,BE454=1),DEC2HEX(_xlfn.BITXOR(BIN2DEC(RIGHT(HEX2BIN(BE461,8)&amp;LEFT(HEX2BIN($A$1,8),1),8)),HEX2DEC($B$1))),IF(AND(BI460=3,BE454=1),DEC2HEX(_xlfn.BITXOR(_xlfn.BITXOR(BIN2DEC(RIGHT(HEX2BIN(BE461,8)&amp;LEFT(HEX2BIN($A$1,8),1),8)),HEX2DEC($B$1)),HEX2DEC(BE461))),BE461)))))),HEX2DEC(IF(AND(BJ460=3,BE455=0),DEC2HEX(_xlfn.BITXOR(BIN2DEC((RIGHT(HEX2BIN(BE462,8)&amp;LEFT(HEX2BIN($A$1,8),1),8))),HEX2DEC(BE462)),2),IF(AND(BJ460=2,BE455=0),BIN2HEX(RIGHT(HEX2BIN(BE462,8)&amp;LEFT(HEX2BIN($A$1,8),1),8)),IF(AND(BJ460=2,BE455=1),DEC2HEX(_xlfn.BITXOR(BIN2DEC(RIGHT(HEX2BIN(BE462,8)&amp;LEFT(HEX2BIN($A$1,8),1),8)),HEX2DEC($B$1))),IF(AND(BJ460=3,BE455=1),DEC2HEX(_xlfn.BITXOR(_xlfn.BITXOR(BIN2DEC(RIGHT(HEX2BIN(BE462,8)&amp;LEFT(HEX2BIN($A$1,8),1),8)),HEX2DEC($B$1)),HEX2DEC(BE462))),BE462)))))))</f>
        <v>1B</v>
      </c>
      <c r="BS460" s="44" t="s">
        <v>164</v>
      </c>
      <c r="BT460" s="44" t="s">
        <v>204</v>
      </c>
      <c r="BU460" s="44" t="s">
        <v>113</v>
      </c>
      <c r="BV460" s="44">
        <v>25</v>
      </c>
    </row>
    <row r="461" spans="2:74" x14ac:dyDescent="0.25">
      <c r="B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H461" s="14" t="str">
        <f t="shared" si="266"/>
        <v>93</v>
      </c>
      <c r="AI461" s="14" t="str">
        <f t="shared" si="267"/>
        <v>41</v>
      </c>
      <c r="AJ461" s="14" t="str">
        <f t="shared" si="268"/>
        <v>5D</v>
      </c>
      <c r="AK461" s="14" t="str">
        <f t="shared" si="269"/>
        <v>F1</v>
      </c>
      <c r="AM461" s="36" t="str">
        <f t="shared" si="270"/>
        <v>94</v>
      </c>
      <c r="AN461" s="36" t="str">
        <f t="shared" si="259"/>
        <v>C4</v>
      </c>
      <c r="AO461" s="36" t="str">
        <f t="shared" si="259"/>
        <v>3F</v>
      </c>
      <c r="AP461" s="36" t="str">
        <f t="shared" si="259"/>
        <v>3F</v>
      </c>
      <c r="AR461" s="36" t="str">
        <f t="shared" si="271"/>
        <v>7</v>
      </c>
      <c r="AS461" s="36" t="str">
        <f t="shared" si="260"/>
        <v>85</v>
      </c>
      <c r="AT461" s="36" t="str">
        <f t="shared" si="261"/>
        <v>62</v>
      </c>
      <c r="AU461" s="36" t="str">
        <f t="shared" si="262"/>
        <v>CE</v>
      </c>
      <c r="AW461" s="1" t="s">
        <v>176</v>
      </c>
      <c r="AX461" s="1">
        <v>97</v>
      </c>
      <c r="AY461" s="1" t="s">
        <v>204</v>
      </c>
      <c r="AZ461" s="1" t="s">
        <v>198</v>
      </c>
      <c r="BB461" s="43" t="str">
        <f>AY461</f>
        <v>AA</v>
      </c>
      <c r="BC461" s="43" t="str">
        <f>AZ461</f>
        <v>8B</v>
      </c>
      <c r="BD461" s="43" t="str">
        <f>AW461</f>
        <v>C5</v>
      </c>
      <c r="BE461" s="29">
        <f>AX461</f>
        <v>97</v>
      </c>
      <c r="BF461" s="43"/>
      <c r="BG461" s="34">
        <v>1</v>
      </c>
      <c r="BH461" s="34">
        <v>1</v>
      </c>
      <c r="BI461" s="34">
        <v>2</v>
      </c>
      <c r="BJ461" s="34">
        <v>3</v>
      </c>
      <c r="BK461" s="37"/>
      <c r="BL461" s="44" t="str">
        <f>DEC2HEX(_xlfn.BITXOR(_xlfn.BITXOR(_xlfn.BITXOR(HEX2DEC(IF(AND(BG461=3,BB452=0),DEC2HEX(_xlfn.BITXOR(BIN2DEC((RIGHT(HEX2BIN(BB459,8)&amp;LEFT(HEX2BIN($A$1,8),1),8))),HEX2DEC(BB459)),2),IF(AND(BG461=2,BB452=0),BIN2HEX(RIGHT(HEX2BIN(BB459,8)&amp;LEFT(HEX2BIN($A$1,8),1),8)),IF(AND(BG461=2,BB452=1),DEC2HEX(_xlfn.BITXOR(BIN2DEC(RIGHT(HEX2BIN(BB459,8)&amp;LEFT(HEX2BIN($A$1,8),1),8)),HEX2DEC($B$1))),IF(AND(BG461=3,BB452=1),DEC2HEX(_xlfn.BITXOR(_xlfn.BITXOR(BIN2DEC(RIGHT(HEX2BIN(BB459,8)&amp;LEFT(HEX2BIN($A$1,8),1),8)),HEX2DEC($B$1)),HEX2DEC(BB459))),BB459))))),HEX2DEC(IF(AND(BH461=3,BB453=0),DEC2HEX(_xlfn.BITXOR(BIN2DEC((RIGHT(HEX2BIN(BB460,8)&amp;LEFT(HEX2BIN($A$1,8),1),8))),HEX2DEC(BB460)),2),IF(AND(BH461=2,BB453=0),BIN2HEX(RIGHT(HEX2BIN(BB460,8)&amp;LEFT(HEX2BIN($A$1,8),1),8)),IF(AND(BH461=2,BB453=1),DEC2HEX(_xlfn.BITXOR(BIN2DEC(RIGHT(HEX2BIN(BB460,8)&amp;LEFT(HEX2BIN($A$1,8),1),8)),HEX2DEC($B$1))),IF(AND(BH461=3,BB453=1),DEC2HEX(_xlfn.BITXOR(_xlfn.BITXOR(BIN2DEC(RIGHT(HEX2BIN(BB460,8)&amp;LEFT(HEX2BIN($A$1,8),1),8)),HEX2DEC($B$1)),HEX2DEC(BB460))),BB460)))))),HEX2DEC(IF(AND(BI461=3,BB454=0),DEC2HEX(_xlfn.BITXOR(BIN2DEC((RIGHT(HEX2BIN(BB461,8)&amp;LEFT(HEX2BIN($A$1,8),1),8))),HEX2DEC(BB461)),2),IF(AND(BI461=2,BB454=0),BIN2HEX(RIGHT(HEX2BIN(BB461,8)&amp;LEFT(HEX2BIN($A$1,8),1),8)),IF(AND(BI461=2,BB454=1),DEC2HEX(_xlfn.BITXOR(BIN2DEC(RIGHT(HEX2BIN(BB461,8)&amp;LEFT(HEX2BIN($A$1,8),1),8)),HEX2DEC($B$1))),IF(AND(BI461=3,BB454=1),DEC2HEX(_xlfn.BITXOR(_xlfn.BITXOR(BIN2DEC(RIGHT(HEX2BIN(BB461,8)&amp;LEFT(HEX2BIN($A$1,8),1),8)),HEX2DEC($B$1)),HEX2DEC(BB461))),BB461)))))),HEX2DEC(IF(AND(BJ461=3,BB455=0),DEC2HEX(_xlfn.BITXOR(BIN2DEC((RIGHT(HEX2BIN(BB462,8)&amp;LEFT(HEX2BIN($A$1,8),1),8))),HEX2DEC(BB462)),2),IF(AND(BJ461=2,BB455=0),BIN2HEX(RIGHT(HEX2BIN(BB462,8)&amp;LEFT(HEX2BIN($A$1,8),1),8)),IF(AND(BJ461=2,BB455=1),DEC2HEX(_xlfn.BITXOR(BIN2DEC(RIGHT(HEX2BIN(BB462,8)&amp;LEFT(HEX2BIN($A$1,8),1),8)),HEX2DEC($B$1))),IF(AND(BJ461=3,BB455=1),DEC2HEX(_xlfn.BITXOR(_xlfn.BITXOR(BIN2DEC(RIGHT(HEX2BIN(BB462,8)&amp;LEFT(HEX2BIN($A$1,8),1),8)),HEX2DEC($B$1)),HEX2DEC(BB462))),BB462)))))))</f>
        <v>56</v>
      </c>
      <c r="BM461" s="44" t="str">
        <f>DEC2HEX(_xlfn.BITXOR(_xlfn.BITXOR(_xlfn.BITXOR(HEX2DEC(IF(AND(BG461=3,BC452=0),DEC2HEX(_xlfn.BITXOR(BIN2DEC((RIGHT(HEX2BIN(BC459,8)&amp;LEFT(HEX2BIN($A$1,8),1),8))),HEX2DEC(BC459)),2),IF(AND(BG461=2,BC452=0),BIN2HEX(RIGHT(HEX2BIN(BC459,8)&amp;LEFT(HEX2BIN($A$1,8),1),8)),IF(AND(BG461=2,BC452=1),DEC2HEX(_xlfn.BITXOR(BIN2DEC(RIGHT(HEX2BIN(BC459,8)&amp;LEFT(HEX2BIN($A$1,8),1),8)),HEX2DEC($B$1))),IF(AND(BG461=3,BC452=1),DEC2HEX(_xlfn.BITXOR(_xlfn.BITXOR(BIN2DEC(RIGHT(HEX2BIN(BC459,8)&amp;LEFT(HEX2BIN($A$1,8),1),8)),HEX2DEC($B$1)),HEX2DEC(BC459))),BC459))))),HEX2DEC(IF(AND(BH461=3,BC453=0),DEC2HEX(_xlfn.BITXOR(BIN2DEC((RIGHT(HEX2BIN(BC460,8)&amp;LEFT(HEX2BIN($A$1,8),1),8))),HEX2DEC(BC460)),2),IF(AND(BH461=2,BC453=0),BIN2HEX(RIGHT(HEX2BIN(BC460,8)&amp;LEFT(HEX2BIN($A$1,8),1),8)),IF(AND(BH461=2,BC453=1),DEC2HEX(_xlfn.BITXOR(BIN2DEC(RIGHT(HEX2BIN(BC460,8)&amp;LEFT(HEX2BIN($A$1,8),1),8)),HEX2DEC($B$1))),IF(AND(BH461=3,BC453=1),DEC2HEX(_xlfn.BITXOR(_xlfn.BITXOR(BIN2DEC(RIGHT(HEX2BIN(BC460,8)&amp;LEFT(HEX2BIN($A$1,8),1),8)),HEX2DEC($B$1)),HEX2DEC(BC460))),BC460)))))),HEX2DEC(IF(AND(BI461=3,BC454=0),DEC2HEX(_xlfn.BITXOR(BIN2DEC((RIGHT(HEX2BIN(BC461,8)&amp;LEFT(HEX2BIN($A$1,8),1),8))),HEX2DEC(BC461)),2),IF(AND(BI461=2,BC454=0),BIN2HEX(RIGHT(HEX2BIN(BC461,8)&amp;LEFT(HEX2BIN($A$1,8),1),8)),IF(AND(BI461=2,BC454=1),DEC2HEX(_xlfn.BITXOR(BIN2DEC(RIGHT(HEX2BIN(BC461,8)&amp;LEFT(HEX2BIN($A$1,8),1),8)),HEX2DEC($B$1))),IF(AND(BI461=3,BC454=1),DEC2HEX(_xlfn.BITXOR(_xlfn.BITXOR(BIN2DEC(RIGHT(HEX2BIN(BC461,8)&amp;LEFT(HEX2BIN($A$1,8),1),8)),HEX2DEC($B$1)),HEX2DEC(BC461))),BC461)))))),HEX2DEC(IF(AND(BJ461=3,BC455=0),DEC2HEX(_xlfn.BITXOR(BIN2DEC((RIGHT(HEX2BIN(BC462,8)&amp;LEFT(HEX2BIN($A$1,8),1),8))),HEX2DEC(BC462)),2),IF(AND(BJ461=2,BC455=0),BIN2HEX(RIGHT(HEX2BIN(BC462,8)&amp;LEFT(HEX2BIN($A$1,8),1),8)),IF(AND(BJ461=2,BC455=1),DEC2HEX(_xlfn.BITXOR(BIN2DEC(RIGHT(HEX2BIN(BC462,8)&amp;LEFT(HEX2BIN($A$1,8),1),8)),HEX2DEC($B$1))),IF(AND(BJ461=3,BC455=1),DEC2HEX(_xlfn.BITXOR(_xlfn.BITXOR(BIN2DEC(RIGHT(HEX2BIN(BC462,8)&amp;LEFT(HEX2BIN($A$1,8),1),8)),HEX2DEC($B$1)),HEX2DEC(BC462))),BC462)))))))</f>
        <v>10</v>
      </c>
      <c r="BN461" s="44" t="str">
        <f>DEC2HEX(_xlfn.BITXOR(_xlfn.BITXOR(_xlfn.BITXOR(HEX2DEC(IF(AND(BG461=3,BD452=0),DEC2HEX(_xlfn.BITXOR(BIN2DEC((RIGHT(HEX2BIN(BD459,8)&amp;LEFT(HEX2BIN($A$1,8),1),8))),HEX2DEC(BD459)),2),IF(AND(BG461=2,BD452=0),BIN2HEX(RIGHT(HEX2BIN(BD459,8)&amp;LEFT(HEX2BIN($A$1,8),1),8)),IF(AND(BG461=2,BD452=1),DEC2HEX(_xlfn.BITXOR(BIN2DEC(RIGHT(HEX2BIN(BD459,8)&amp;LEFT(HEX2BIN($A$1,8),1),8)),HEX2DEC($B$1))),IF(AND(BG461=3,BD452=1),DEC2HEX(_xlfn.BITXOR(_xlfn.BITXOR(BIN2DEC(RIGHT(HEX2BIN(BD459,8)&amp;LEFT(HEX2BIN($A$1,8),1),8)),HEX2DEC($B$1)),HEX2DEC(BD459))),BD459))))),HEX2DEC(IF(AND(BH461=3,BD453=0),DEC2HEX(_xlfn.BITXOR(BIN2DEC((RIGHT(HEX2BIN(BD460,8)&amp;LEFT(HEX2BIN($A$1,8),1),8))),HEX2DEC(BD460)),2),IF(AND(BH461=2,BD453=0),BIN2HEX(RIGHT(HEX2BIN(BD460,8)&amp;LEFT(HEX2BIN($A$1,8),1),8)),IF(AND(BH461=2,BD453=1),DEC2HEX(_xlfn.BITXOR(BIN2DEC(RIGHT(HEX2BIN(BD460,8)&amp;LEFT(HEX2BIN($A$1,8),1),8)),HEX2DEC($B$1))),IF(AND(BH461=3,BD453=1),DEC2HEX(_xlfn.BITXOR(_xlfn.BITXOR(BIN2DEC(RIGHT(HEX2BIN(BD460,8)&amp;LEFT(HEX2BIN($A$1,8),1),8)),HEX2DEC($B$1)),HEX2DEC(BD460))),BD460)))))),HEX2DEC(IF(AND(BI461=3,BD454=0),DEC2HEX(_xlfn.BITXOR(BIN2DEC((RIGHT(HEX2BIN(BD461,8)&amp;LEFT(HEX2BIN($A$1,8),1),8))),HEX2DEC(BD461)),2),IF(AND(BI461=2,BD454=0),BIN2HEX(RIGHT(HEX2BIN(BD461,8)&amp;LEFT(HEX2BIN($A$1,8),1),8)),IF(AND(BI461=2,BD454=1),DEC2HEX(_xlfn.BITXOR(BIN2DEC(RIGHT(HEX2BIN(BD461,8)&amp;LEFT(HEX2BIN($A$1,8),1),8)),HEX2DEC($B$1))),IF(AND(BI461=3,BD454=1),DEC2HEX(_xlfn.BITXOR(_xlfn.BITXOR(BIN2DEC(RIGHT(HEX2BIN(BD461,8)&amp;LEFT(HEX2BIN($A$1,8),1),8)),HEX2DEC($B$1)),HEX2DEC(BD461))),BD461)))))),HEX2DEC(IF(AND(BJ461=3,BD455=0),DEC2HEX(_xlfn.BITXOR(BIN2DEC((RIGHT(HEX2BIN(BD462,8)&amp;LEFT(HEX2BIN($A$1,8),1),8))),HEX2DEC(BD462)),2),IF(AND(BJ461=2,BD455=0),BIN2HEX(RIGHT(HEX2BIN(BD462,8)&amp;LEFT(HEX2BIN($A$1,8),1),8)),IF(AND(BJ461=2,BD455=1),DEC2HEX(_xlfn.BITXOR(BIN2DEC(RIGHT(HEX2BIN(BD462,8)&amp;LEFT(HEX2BIN($A$1,8),1),8)),HEX2DEC($B$1))),IF(AND(BJ461=3,BD455=1),DEC2HEX(_xlfn.BITXOR(_xlfn.BITXOR(BIN2DEC(RIGHT(HEX2BIN(BD462,8)&amp;LEFT(HEX2BIN($A$1,8),1),8)),HEX2DEC($B$1)),HEX2DEC(BD462))),BD462)))))))</f>
        <v>74</v>
      </c>
      <c r="BO461" s="44" t="str">
        <f>DEC2HEX(_xlfn.BITXOR(_xlfn.BITXOR(_xlfn.BITXOR(HEX2DEC(IF(AND(BG461=3,BE452=0),DEC2HEX(_xlfn.BITXOR(BIN2DEC((RIGHT(HEX2BIN(BE459,8)&amp;LEFT(HEX2BIN($A$1,8),1),8))),HEX2DEC(BE459)),2),IF(AND(BG461=2,BE452=0),BIN2HEX(RIGHT(HEX2BIN(BE459,8)&amp;LEFT(HEX2BIN($A$1,8),1),8)),IF(AND(BG461=2,BE452=1),DEC2HEX(_xlfn.BITXOR(BIN2DEC(RIGHT(HEX2BIN(BE459,8)&amp;LEFT(HEX2BIN($A$1,8),1),8)),HEX2DEC($B$1))),IF(AND(BG461=3,BE452=1),DEC2HEX(_xlfn.BITXOR(_xlfn.BITXOR(BIN2DEC(RIGHT(HEX2BIN(BE459,8)&amp;LEFT(HEX2BIN($A$1,8),1),8)),HEX2DEC($B$1)),HEX2DEC(BE459))),BE459))))),HEX2DEC(IF(AND(BH461=3,BE453=0),DEC2HEX(_xlfn.BITXOR(BIN2DEC((RIGHT(HEX2BIN(BE460,8)&amp;LEFT(HEX2BIN($A$1,8),1),8))),HEX2DEC(BE460)),2),IF(AND(BH461=2,BE453=0),BIN2HEX(RIGHT(HEX2BIN(BE460,8)&amp;LEFT(HEX2BIN($A$1,8),1),8)),IF(AND(BH461=2,BE453=1),DEC2HEX(_xlfn.BITXOR(BIN2DEC(RIGHT(HEX2BIN(BE460,8)&amp;LEFT(HEX2BIN($A$1,8),1),8)),HEX2DEC($B$1))),IF(AND(BH461=3,BE453=1),DEC2HEX(_xlfn.BITXOR(_xlfn.BITXOR(BIN2DEC(RIGHT(HEX2BIN(BE460,8)&amp;LEFT(HEX2BIN($A$1,8),1),8)),HEX2DEC($B$1)),HEX2DEC(BE460))),BE460)))))),HEX2DEC(IF(AND(BI461=3,BE454=0),DEC2HEX(_xlfn.BITXOR(BIN2DEC((RIGHT(HEX2BIN(BE461,8)&amp;LEFT(HEX2BIN($A$1,8),1),8))),HEX2DEC(BE461)),2),IF(AND(BI461=2,BE454=0),BIN2HEX(RIGHT(HEX2BIN(BE461,8)&amp;LEFT(HEX2BIN($A$1,8),1),8)),IF(AND(BI461=2,BE454=1),DEC2HEX(_xlfn.BITXOR(BIN2DEC(RIGHT(HEX2BIN(BE461,8)&amp;LEFT(HEX2BIN($A$1,8),1),8)),HEX2DEC($B$1))),IF(AND(BI461=3,BE454=1),DEC2HEX(_xlfn.BITXOR(_xlfn.BITXOR(BIN2DEC(RIGHT(HEX2BIN(BE461,8)&amp;LEFT(HEX2BIN($A$1,8),1),8)),HEX2DEC($B$1)),HEX2DEC(BE461))),BE461)))))),HEX2DEC(IF(AND(BJ461=3,BE455=0),DEC2HEX(_xlfn.BITXOR(BIN2DEC((RIGHT(HEX2BIN(BE462,8)&amp;LEFT(HEX2BIN($A$1,8),1),8))),HEX2DEC(BE462)),2),IF(AND(BJ461=2,BE455=0),BIN2HEX(RIGHT(HEX2BIN(BE462,8)&amp;LEFT(HEX2BIN($A$1,8),1),8)),IF(AND(BJ461=2,BE455=1),DEC2HEX(_xlfn.BITXOR(BIN2DEC(RIGHT(HEX2BIN(BE462,8)&amp;LEFT(HEX2BIN($A$1,8),1),8)),HEX2DEC($B$1))),IF(AND(BJ461=3,BE455=1),DEC2HEX(_xlfn.BITXOR(_xlfn.BITXOR(BIN2DEC(RIGHT(HEX2BIN(BE462,8)&amp;LEFT(HEX2BIN($A$1,8),1),8)),HEX2DEC($B$1)),HEX2DEC(BE462))),BE462)))))))</f>
        <v>D1</v>
      </c>
      <c r="BS461" s="44">
        <v>70</v>
      </c>
      <c r="BT461" s="44" t="s">
        <v>149</v>
      </c>
      <c r="BU461" s="44">
        <v>66</v>
      </c>
      <c r="BV461" s="44">
        <v>58</v>
      </c>
    </row>
    <row r="462" spans="2:74" x14ac:dyDescent="0.25">
      <c r="B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H462" s="14" t="str">
        <f t="shared" si="266"/>
        <v>C8</v>
      </c>
      <c r="AI462" s="14" t="str">
        <f t="shared" si="267"/>
        <v>12</v>
      </c>
      <c r="AJ462" s="14" t="str">
        <f t="shared" si="268"/>
        <v>FC</v>
      </c>
      <c r="AK462" s="14" t="str">
        <f t="shared" si="269"/>
        <v>74</v>
      </c>
      <c r="AM462" s="36" t="str">
        <f t="shared" si="270"/>
        <v>74</v>
      </c>
      <c r="AN462" s="36" t="str">
        <f t="shared" si="259"/>
        <v>BA</v>
      </c>
      <c r="AO462" s="36" t="str">
        <f t="shared" si="259"/>
        <v>7E</v>
      </c>
      <c r="AP462" s="36" t="str">
        <f t="shared" si="259"/>
        <v>2F</v>
      </c>
      <c r="AR462" s="36" t="str">
        <f t="shared" si="271"/>
        <v>BC</v>
      </c>
      <c r="AS462" s="36" t="str">
        <f t="shared" si="260"/>
        <v>A8</v>
      </c>
      <c r="AT462" s="36" t="str">
        <f t="shared" si="261"/>
        <v>82</v>
      </c>
      <c r="AU462" s="36" t="str">
        <f t="shared" si="262"/>
        <v>5B</v>
      </c>
      <c r="AW462" s="1">
        <v>65</v>
      </c>
      <c r="AX462" s="1" t="s">
        <v>164</v>
      </c>
      <c r="AY462" s="1">
        <v>13</v>
      </c>
      <c r="AZ462" s="1">
        <v>39</v>
      </c>
      <c r="BB462" s="43">
        <f>AZ462</f>
        <v>39</v>
      </c>
      <c r="BC462" s="43">
        <f>AW462</f>
        <v>65</v>
      </c>
      <c r="BD462" s="43" t="str">
        <f t="shared" ref="BD462" si="274">AX462</f>
        <v>C2</v>
      </c>
      <c r="BE462" s="30">
        <f t="shared" ref="BE462" si="275">AY462</f>
        <v>13</v>
      </c>
      <c r="BF462" s="43"/>
      <c r="BG462" s="31">
        <v>3</v>
      </c>
      <c r="BH462" s="32">
        <v>1</v>
      </c>
      <c r="BI462" s="32">
        <v>1</v>
      </c>
      <c r="BJ462" s="33">
        <v>2</v>
      </c>
      <c r="BK462" s="37"/>
      <c r="BL462" s="44" t="str">
        <f>DEC2HEX(_xlfn.BITXOR(_xlfn.BITXOR(_xlfn.BITXOR(HEX2DEC(IF(AND(BG462=3,BB452=0),DEC2HEX(_xlfn.BITXOR(BIN2DEC((RIGHT(HEX2BIN(BB459,8)&amp;LEFT(HEX2BIN($A$1,8),1),8))),HEX2DEC(BB459)),2),IF(AND(BG462=2,BB452=0),BIN2HEX(RIGHT(HEX2BIN(BB459,8)&amp;LEFT(HEX2BIN($A$1,8),1),8)),IF(AND(BG462=2,BB452=1),DEC2HEX(_xlfn.BITXOR(BIN2DEC(RIGHT(HEX2BIN(BB459,8)&amp;LEFT(HEX2BIN($A$1,8),1),8)),HEX2DEC($B$1))),IF(AND(BG462=3,BB452=1),DEC2HEX(_xlfn.BITXOR(_xlfn.BITXOR(BIN2DEC(RIGHT(HEX2BIN(BB459,8)&amp;LEFT(HEX2BIN($A$1,8),1),8)),HEX2DEC($B$1)),HEX2DEC(BB459))),BB459))))),HEX2DEC(IF(AND(BH462=3,BB453=0),DEC2HEX(_xlfn.BITXOR(BIN2DEC((RIGHT(HEX2BIN(BB460,8)&amp;LEFT(HEX2BIN($A$1,8),1),8))),HEX2DEC(BB460)),2),IF(AND(BH462=2,BB453=0),BIN2HEX(RIGHT(HEX2BIN(BB460,8)&amp;LEFT(HEX2BIN($A$1,8),1),8)),IF(AND(BH462=2,BB453=1),DEC2HEX(_xlfn.BITXOR(BIN2DEC(RIGHT(HEX2BIN(BB460,8)&amp;LEFT(HEX2BIN($A$1,8),1),8)),HEX2DEC($B$1))),IF(AND(BH462=3,BB453=1),DEC2HEX(_xlfn.BITXOR(_xlfn.BITXOR(BIN2DEC(RIGHT(HEX2BIN(BB460,8)&amp;LEFT(HEX2BIN($A$1,8),1),8)),HEX2DEC($B$1)),HEX2DEC(BB460))),BB460)))))),HEX2DEC(IF(AND(BI462=3,BB454=0),DEC2HEX(_xlfn.BITXOR(BIN2DEC((RIGHT(HEX2BIN(BB461,8)&amp;LEFT(HEX2BIN($A$1,8),1),8))),HEX2DEC(BB461)),2),IF(AND(BI462=2,BB454=0),BIN2HEX(RIGHT(HEX2BIN(BB461,8)&amp;LEFT(HEX2BIN($A$1,8),1),8)),IF(AND(BI462=2,BB454=1),DEC2HEX(_xlfn.BITXOR(BIN2DEC(RIGHT(HEX2BIN(BB461,8)&amp;LEFT(HEX2BIN($A$1,8),1),8)),HEX2DEC($B$1))),IF(AND(BI462=3,BB454=1),DEC2HEX(_xlfn.BITXOR(_xlfn.BITXOR(BIN2DEC(RIGHT(HEX2BIN(BB461,8)&amp;LEFT(HEX2BIN($A$1,8),1),8)),HEX2DEC($B$1)),HEX2DEC(BB461))),BB461)))))),HEX2DEC(IF(AND(BJ462=3,BB455=0),DEC2HEX(_xlfn.BITXOR(BIN2DEC((RIGHT(HEX2BIN(BB462,8)&amp;LEFT(HEX2BIN($A$1,8),1),8))),HEX2DEC(BB462)),2),IF(AND(BJ462=2,BB455=0),BIN2HEX(RIGHT(HEX2BIN(BB462,8)&amp;LEFT(HEX2BIN($A$1,8),1),8)),IF(AND(BJ462=2,BB455=1),DEC2HEX(_xlfn.BITXOR(BIN2DEC(RIGHT(HEX2BIN(BB462,8)&amp;LEFT(HEX2BIN($A$1,8),1),8)),HEX2DEC($B$1))),IF(AND(BJ462=3,BB455=1),DEC2HEX(_xlfn.BITXOR(_xlfn.BITXOR(BIN2DEC(RIGHT(HEX2BIN(BB462,8)&amp;LEFT(HEX2BIN($A$1,8),1),8)),HEX2DEC($B$1)),HEX2DEC(BB462))),BB462)))))))</f>
        <v>FE</v>
      </c>
      <c r="BM462" s="44" t="str">
        <f>DEC2HEX(_xlfn.BITXOR(_xlfn.BITXOR(_xlfn.BITXOR(HEX2DEC(IF(AND(BG462=3,BC452=0),DEC2HEX(_xlfn.BITXOR(BIN2DEC((RIGHT(HEX2BIN(BC459,8)&amp;LEFT(HEX2BIN($A$1,8),1),8))),HEX2DEC(BC459)),2),IF(AND(BG462=2,BC452=0),BIN2HEX(RIGHT(HEX2BIN(BC459,8)&amp;LEFT(HEX2BIN($A$1,8),1),8)),IF(AND(BG462=2,BC452=1),DEC2HEX(_xlfn.BITXOR(BIN2DEC(RIGHT(HEX2BIN(BC459,8)&amp;LEFT(HEX2BIN($A$1,8),1),8)),HEX2DEC($B$1))),IF(AND(BG462=3,BC452=1),DEC2HEX(_xlfn.BITXOR(_xlfn.BITXOR(BIN2DEC(RIGHT(HEX2BIN(BC459,8)&amp;LEFT(HEX2BIN($A$1,8),1),8)),HEX2DEC($B$1)),HEX2DEC(BC459))),BC459))))),HEX2DEC(IF(AND(BH462=3,BC453=0),DEC2HEX(_xlfn.BITXOR(BIN2DEC((RIGHT(HEX2BIN(BC460,8)&amp;LEFT(HEX2BIN($A$1,8),1),8))),HEX2DEC(BC460)),2),IF(AND(BH462=2,BC453=0),BIN2HEX(RIGHT(HEX2BIN(BC460,8)&amp;LEFT(HEX2BIN($A$1,8),1),8)),IF(AND(BH462=2,BC453=1),DEC2HEX(_xlfn.BITXOR(BIN2DEC(RIGHT(HEX2BIN(BC460,8)&amp;LEFT(HEX2BIN($A$1,8),1),8)),HEX2DEC($B$1))),IF(AND(BH462=3,BC453=1),DEC2HEX(_xlfn.BITXOR(_xlfn.BITXOR(BIN2DEC(RIGHT(HEX2BIN(BC460,8)&amp;LEFT(HEX2BIN($A$1,8),1),8)),HEX2DEC($B$1)),HEX2DEC(BC460))),BC460)))))),HEX2DEC(IF(AND(BI462=3,BC454=0),DEC2HEX(_xlfn.BITXOR(BIN2DEC((RIGHT(HEX2BIN(BC461,8)&amp;LEFT(HEX2BIN($A$1,8),1),8))),HEX2DEC(BC461)),2),IF(AND(BI462=2,BC454=0),BIN2HEX(RIGHT(HEX2BIN(BC461,8)&amp;LEFT(HEX2BIN($A$1,8),1),8)),IF(AND(BI462=2,BC454=1),DEC2HEX(_xlfn.BITXOR(BIN2DEC(RIGHT(HEX2BIN(BC461,8)&amp;LEFT(HEX2BIN($A$1,8),1),8)),HEX2DEC($B$1))),IF(AND(BI462=3,BC454=1),DEC2HEX(_xlfn.BITXOR(_xlfn.BITXOR(BIN2DEC(RIGHT(HEX2BIN(BC461,8)&amp;LEFT(HEX2BIN($A$1,8),1),8)),HEX2DEC($B$1)),HEX2DEC(BC461))),BC461)))))),HEX2DEC(IF(AND(BJ462=3,BC455=0),DEC2HEX(_xlfn.BITXOR(BIN2DEC((RIGHT(HEX2BIN(BC462,8)&amp;LEFT(HEX2BIN($A$1,8),1),8))),HEX2DEC(BC462)),2),IF(AND(BJ462=2,BC455=0),BIN2HEX(RIGHT(HEX2BIN(BC462,8)&amp;LEFT(HEX2BIN($A$1,8),1),8)),IF(AND(BJ462=2,BC455=1),DEC2HEX(_xlfn.BITXOR(BIN2DEC(RIGHT(HEX2BIN(BC462,8)&amp;LEFT(HEX2BIN($A$1,8),1),8)),HEX2DEC($B$1))),IF(AND(BJ462=3,BC455=1),DEC2HEX(_xlfn.BITXOR(_xlfn.BITXOR(BIN2DEC(RIGHT(HEX2BIN(BC462,8)&amp;LEFT(HEX2BIN($A$1,8),1),8)),HEX2DEC($B$1)),HEX2DEC(BC462))),BC462)))))))</f>
        <v>2B</v>
      </c>
      <c r="BN462" s="44" t="str">
        <f>DEC2HEX(_xlfn.BITXOR(_xlfn.BITXOR(_xlfn.BITXOR(HEX2DEC(IF(AND(BG462=3,BD452=0),DEC2HEX(_xlfn.BITXOR(BIN2DEC((RIGHT(HEX2BIN(BD459,8)&amp;LEFT(HEX2BIN($A$1,8),1),8))),HEX2DEC(BD459)),2),IF(AND(BG462=2,BD452=0),BIN2HEX(RIGHT(HEX2BIN(BD459,8)&amp;LEFT(HEX2BIN($A$1,8),1),8)),IF(AND(BG462=2,BD452=1),DEC2HEX(_xlfn.BITXOR(BIN2DEC(RIGHT(HEX2BIN(BD459,8)&amp;LEFT(HEX2BIN($A$1,8),1),8)),HEX2DEC($B$1))),IF(AND(BG462=3,BD452=1),DEC2HEX(_xlfn.BITXOR(_xlfn.BITXOR(BIN2DEC(RIGHT(HEX2BIN(BD459,8)&amp;LEFT(HEX2BIN($A$1,8),1),8)),HEX2DEC($B$1)),HEX2DEC(BD459))),BD459))))),HEX2DEC(IF(AND(BH462=3,BD453=0),DEC2HEX(_xlfn.BITXOR(BIN2DEC((RIGHT(HEX2BIN(BD460,8)&amp;LEFT(HEX2BIN($A$1,8),1),8))),HEX2DEC(BD460)),2),IF(AND(BH462=2,BD453=0),BIN2HEX(RIGHT(HEX2BIN(BD460,8)&amp;LEFT(HEX2BIN($A$1,8),1),8)),IF(AND(BH462=2,BD453=1),DEC2HEX(_xlfn.BITXOR(BIN2DEC(RIGHT(HEX2BIN(BD460,8)&amp;LEFT(HEX2BIN($A$1,8),1),8)),HEX2DEC($B$1))),IF(AND(BH462=3,BD453=1),DEC2HEX(_xlfn.BITXOR(_xlfn.BITXOR(BIN2DEC(RIGHT(HEX2BIN(BD460,8)&amp;LEFT(HEX2BIN($A$1,8),1),8)),HEX2DEC($B$1)),HEX2DEC(BD460))),BD460)))))),HEX2DEC(IF(AND(BI462=3,BD454=0),DEC2HEX(_xlfn.BITXOR(BIN2DEC((RIGHT(HEX2BIN(BD461,8)&amp;LEFT(HEX2BIN($A$1,8),1),8))),HEX2DEC(BD461)),2),IF(AND(BI462=2,BD454=0),BIN2HEX(RIGHT(HEX2BIN(BD461,8)&amp;LEFT(HEX2BIN($A$1,8),1),8)),IF(AND(BI462=2,BD454=1),DEC2HEX(_xlfn.BITXOR(BIN2DEC(RIGHT(HEX2BIN(BD461,8)&amp;LEFT(HEX2BIN($A$1,8),1),8)),HEX2DEC($B$1))),IF(AND(BI462=3,BD454=1),DEC2HEX(_xlfn.BITXOR(_xlfn.BITXOR(BIN2DEC(RIGHT(HEX2BIN(BD461,8)&amp;LEFT(HEX2BIN($A$1,8),1),8)),HEX2DEC($B$1)),HEX2DEC(BD461))),BD461)))))),HEX2DEC(IF(AND(BJ462=3,BD455=0),DEC2HEX(_xlfn.BITXOR(BIN2DEC((RIGHT(HEX2BIN(BD462,8)&amp;LEFT(HEX2BIN($A$1,8),1),8))),HEX2DEC(BD462)),2),IF(AND(BJ462=2,BD455=0),BIN2HEX(RIGHT(HEX2BIN(BD462,8)&amp;LEFT(HEX2BIN($A$1,8),1),8)),IF(AND(BJ462=2,BD455=1),DEC2HEX(_xlfn.BITXOR(BIN2DEC(RIGHT(HEX2BIN(BD462,8)&amp;LEFT(HEX2BIN($A$1,8),1),8)),HEX2DEC($B$1))),IF(AND(BJ462=3,BD455=1),DEC2HEX(_xlfn.BITXOR(_xlfn.BITXOR(BIN2DEC(RIGHT(HEX2BIN(BD462,8)&amp;LEFT(HEX2BIN($A$1,8),1),8)),HEX2DEC($B$1)),HEX2DEC(BD462))),BD462)))))))</f>
        <v>63</v>
      </c>
      <c r="BO462" s="44" t="str">
        <f>DEC2HEX(_xlfn.BITXOR(_xlfn.BITXOR(_xlfn.BITXOR(HEX2DEC(IF(AND(BG462=3,BE452=0),DEC2HEX(_xlfn.BITXOR(BIN2DEC((RIGHT(HEX2BIN(BE459,8)&amp;LEFT(HEX2BIN($A$1,8),1),8))),HEX2DEC(BE459)),2),IF(AND(BG462=2,BE452=0),BIN2HEX(RIGHT(HEX2BIN(BE459,8)&amp;LEFT(HEX2BIN($A$1,8),1),8)),IF(AND(BG462=2,BE452=1),DEC2HEX(_xlfn.BITXOR(BIN2DEC(RIGHT(HEX2BIN(BE459,8)&amp;LEFT(HEX2BIN($A$1,8),1),8)),HEX2DEC($B$1))),IF(AND(BG462=3,BE452=1),DEC2HEX(_xlfn.BITXOR(_xlfn.BITXOR(BIN2DEC(RIGHT(HEX2BIN(BE459,8)&amp;LEFT(HEX2BIN($A$1,8),1),8)),HEX2DEC($B$1)),HEX2DEC(BE459))),BE459))))),HEX2DEC(IF(AND(BH462=3,BE453=0),DEC2HEX(_xlfn.BITXOR(BIN2DEC((RIGHT(HEX2BIN(BE460,8)&amp;LEFT(HEX2BIN($A$1,8),1),8))),HEX2DEC(BE460)),2),IF(AND(BH462=2,BE453=0),BIN2HEX(RIGHT(HEX2BIN(BE460,8)&amp;LEFT(HEX2BIN($A$1,8),1),8)),IF(AND(BH462=2,BE453=1),DEC2HEX(_xlfn.BITXOR(BIN2DEC(RIGHT(HEX2BIN(BE460,8)&amp;LEFT(HEX2BIN($A$1,8),1),8)),HEX2DEC($B$1))),IF(AND(BH462=3,BE453=1),DEC2HEX(_xlfn.BITXOR(_xlfn.BITXOR(BIN2DEC(RIGHT(HEX2BIN(BE460,8)&amp;LEFT(HEX2BIN($A$1,8),1),8)),HEX2DEC($B$1)),HEX2DEC(BE460))),BE460)))))),HEX2DEC(IF(AND(BI462=3,BE454=0),DEC2HEX(_xlfn.BITXOR(BIN2DEC((RIGHT(HEX2BIN(BE461,8)&amp;LEFT(HEX2BIN($A$1,8),1),8))),HEX2DEC(BE461)),2),IF(AND(BI462=2,BE454=0),BIN2HEX(RIGHT(HEX2BIN(BE461,8)&amp;LEFT(HEX2BIN($A$1,8),1),8)),IF(AND(BI462=2,BE454=1),DEC2HEX(_xlfn.BITXOR(BIN2DEC(RIGHT(HEX2BIN(BE461,8)&amp;LEFT(HEX2BIN($A$1,8),1),8)),HEX2DEC($B$1))),IF(AND(BI462=3,BE454=1),DEC2HEX(_xlfn.BITXOR(_xlfn.BITXOR(BIN2DEC(RIGHT(HEX2BIN(BE461,8)&amp;LEFT(HEX2BIN($A$1,8),1),8)),HEX2DEC($B$1)),HEX2DEC(BE461))),BE461)))))),HEX2DEC(IF(AND(BJ462=3,BE455=0),DEC2HEX(_xlfn.BITXOR(BIN2DEC((RIGHT(HEX2BIN(BE462,8)&amp;LEFT(HEX2BIN($A$1,8),1),8))),HEX2DEC(BE462)),2),IF(AND(BJ462=2,BE455=0),BIN2HEX(RIGHT(HEX2BIN(BE462,8)&amp;LEFT(HEX2BIN($A$1,8),1),8)),IF(AND(BJ462=2,BE455=1),DEC2HEX(_xlfn.BITXOR(BIN2DEC(RIGHT(HEX2BIN(BE462,8)&amp;LEFT(HEX2BIN($A$1,8),1),8)),HEX2DEC($B$1))),IF(AND(BJ462=3,BE455=1),DEC2HEX(_xlfn.BITXOR(_xlfn.BITXOR(BIN2DEC(RIGHT(HEX2BIN(BE462,8)&amp;LEFT(HEX2BIN($A$1,8),1),8)),HEX2DEC($B$1)),HEX2DEC(BE462))),BE462)))))))</f>
        <v>8B</v>
      </c>
      <c r="BS462" s="44" t="s">
        <v>74</v>
      </c>
      <c r="BT462" s="44">
        <v>24</v>
      </c>
      <c r="BU462" s="44" t="s">
        <v>164</v>
      </c>
      <c r="BV462" s="44" t="s">
        <v>149</v>
      </c>
    </row>
    <row r="463" spans="2:74" x14ac:dyDescent="0.25">
      <c r="B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BB463" s="10"/>
      <c r="BC463" s="10"/>
      <c r="BD463" s="10"/>
      <c r="BE463" s="10"/>
    </row>
    <row r="464" spans="2:74" x14ac:dyDescent="0.25">
      <c r="B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</row>
    <row r="465" spans="2:31" x14ac:dyDescent="0.25">
      <c r="B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</row>
    <row r="466" spans="2:31" x14ac:dyDescent="0.25">
      <c r="B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</row>
    <row r="467" spans="2:31" x14ac:dyDescent="0.25">
      <c r="B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</row>
    <row r="468" spans="2:31" x14ac:dyDescent="0.25">
      <c r="B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</row>
    <row r="469" spans="2:31" x14ac:dyDescent="0.25">
      <c r="B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</row>
    <row r="470" spans="2:31" x14ac:dyDescent="0.25">
      <c r="B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</row>
    <row r="471" spans="2:31" x14ac:dyDescent="0.25">
      <c r="B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</row>
    <row r="472" spans="2:31" x14ac:dyDescent="0.25">
      <c r="B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</row>
    <row r="473" spans="2:31" x14ac:dyDescent="0.25">
      <c r="B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</row>
    <row r="474" spans="2:31" x14ac:dyDescent="0.25">
      <c r="B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</row>
    <row r="475" spans="2:31" x14ac:dyDescent="0.25">
      <c r="B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</row>
    <row r="476" spans="2:31" x14ac:dyDescent="0.25">
      <c r="B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</row>
    <row r="477" spans="2:31" x14ac:dyDescent="0.25">
      <c r="B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</row>
    <row r="478" spans="2:31" x14ac:dyDescent="0.25">
      <c r="B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</row>
    <row r="479" spans="2:31" x14ac:dyDescent="0.25">
      <c r="B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</row>
    <row r="480" spans="2:31" x14ac:dyDescent="0.25">
      <c r="B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</row>
    <row r="481" spans="2:67" x14ac:dyDescent="0.25">
      <c r="B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</row>
    <row r="482" spans="2:67" x14ac:dyDescent="0.25">
      <c r="B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</row>
    <row r="483" spans="2:67" x14ac:dyDescent="0.25">
      <c r="B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</row>
    <row r="484" spans="2:67" x14ac:dyDescent="0.25">
      <c r="B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</row>
    <row r="485" spans="2:67" x14ac:dyDescent="0.25">
      <c r="B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</row>
    <row r="486" spans="2:67" x14ac:dyDescent="0.25">
      <c r="B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</row>
    <row r="487" spans="2:67" x14ac:dyDescent="0.25">
      <c r="B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</row>
    <row r="488" spans="2:67" x14ac:dyDescent="0.25">
      <c r="B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</row>
    <row r="489" spans="2:67" x14ac:dyDescent="0.25">
      <c r="B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</row>
    <row r="490" spans="2:67" x14ac:dyDescent="0.25">
      <c r="B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BG490" s="37"/>
      <c r="BH490" s="37"/>
      <c r="BI490" s="37"/>
      <c r="BJ490" t="s">
        <v>179</v>
      </c>
      <c r="BK490"/>
      <c r="BL490" t="s">
        <v>181</v>
      </c>
      <c r="BM490" t="s">
        <v>182</v>
      </c>
      <c r="BN490" t="s">
        <v>180</v>
      </c>
      <c r="BO490" s="37"/>
    </row>
    <row r="491" spans="2:67" x14ac:dyDescent="0.25">
      <c r="B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BG491" s="37"/>
      <c r="BH491" s="37"/>
      <c r="BI491" s="37"/>
      <c r="BJ491" t="str">
        <f>BIN2HEX(RIGHT(HEX2BIN(BA509,8)&amp;LEFT(HEX2BIN($A$1,8),1),8))</f>
        <v>0</v>
      </c>
      <c r="BK491"/>
      <c r="BL491" t="str">
        <f>DEC2HEX(_xlfn.BITXOR(BIN2DEC(RIGHT(HEX2BIN(BC516,8)&amp;LEFT(HEX2BIN($A$1,8),1),8)),HEX2DEC($B$1)))</f>
        <v>1B</v>
      </c>
      <c r="BM491" t="str">
        <f>DEC2HEX(_xlfn.BITXOR(_xlfn.BITXOR(BIN2DEC(RIGHT(HEX2BIN(BC498,8)&amp;LEFT(HEX2BIN($A$1,8),1),8)),HEX2DEC($B$1)),HEX2DEC(BC498)))</f>
        <v>1B</v>
      </c>
      <c r="BN491" t="str">
        <f>DEC2HEX(_xlfn.BITXOR(BIN2DEC((RIGHT(HEX2BIN(BA510,8)&amp;LEFT(HEX2BIN($A$1,8),1),8))),HEX2DEC(BA510)),2)</f>
        <v>00</v>
      </c>
      <c r="BO491" s="37"/>
    </row>
    <row r="492" spans="2:67" x14ac:dyDescent="0.25">
      <c r="B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BE492" s="43"/>
      <c r="BG492" s="37"/>
      <c r="BH492" s="37"/>
      <c r="BI492" s="37"/>
      <c r="BJ492" s="37"/>
      <c r="BK492" s="37"/>
      <c r="BL492" s="37"/>
      <c r="BM492" s="37"/>
      <c r="BN492" s="37"/>
      <c r="BO492" s="37"/>
    </row>
    <row r="493" spans="2:67" x14ac:dyDescent="0.25">
      <c r="B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BB493" s="10"/>
      <c r="BC493" s="10"/>
      <c r="BD493" s="10"/>
      <c r="BE493" s="43"/>
      <c r="BG493" s="37"/>
      <c r="BH493" s="37"/>
      <c r="BI493" s="37"/>
      <c r="BJ493" s="37"/>
      <c r="BK493" s="37"/>
      <c r="BL493" s="37"/>
      <c r="BM493" s="37"/>
      <c r="BN493" s="37"/>
      <c r="BO493" s="37"/>
    </row>
    <row r="494" spans="2:67" x14ac:dyDescent="0.25">
      <c r="B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BB494" s="75">
        <f>IF(BIN2DEC(LEFT(HEX2BIN(BB501,8),1))=0,0,1)</f>
        <v>1</v>
      </c>
      <c r="BC494" s="75">
        <f>IF(BIN2DEC(LEFT(HEX2BIN(BC501,8),1))=0,0,1)</f>
        <v>0</v>
      </c>
      <c r="BD494" s="75">
        <f>IF(BIN2DEC(LEFT(HEX2BIN(BD501,8),1))=0,0,1)</f>
        <v>0</v>
      </c>
      <c r="BE494" s="75">
        <f>IF(BIN2DEC(LEFT(HEX2BIN(BE501,8),1))=0,0,1)</f>
        <v>0</v>
      </c>
      <c r="BF494" s="43"/>
      <c r="BG494" s="43"/>
      <c r="BH494" s="43"/>
      <c r="BI494" s="43"/>
      <c r="BJ494" s="43"/>
      <c r="BK494" s="37"/>
      <c r="BL494" s="37" t="s">
        <v>215</v>
      </c>
      <c r="BM494" s="37"/>
      <c r="BN494" s="37"/>
      <c r="BO494" s="37"/>
    </row>
    <row r="495" spans="2:67" x14ac:dyDescent="0.25">
      <c r="B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BB495" s="75">
        <f t="shared" ref="BB495:BE495" si="276">IF(BIN2DEC(LEFT(HEX2BIN(BB502,8),1))=0,0,1)</f>
        <v>1</v>
      </c>
      <c r="BC495" s="75">
        <f t="shared" si="276"/>
        <v>1</v>
      </c>
      <c r="BD495" s="75">
        <f t="shared" si="276"/>
        <v>0</v>
      </c>
      <c r="BE495" s="75">
        <f t="shared" si="276"/>
        <v>0</v>
      </c>
      <c r="BF495" s="43"/>
      <c r="BG495" s="43"/>
      <c r="BH495" s="43"/>
      <c r="BI495" s="43"/>
      <c r="BJ495" s="43"/>
      <c r="BK495" s="37"/>
      <c r="BL495" s="37" t="str">
        <f>DEC2HEX(_xlfn.BITXOR(_xlfn.BITXOR(_xlfn.BITXOR(HEX2DEC(BK498),HEX2DEC(BL498)),HEX2DEC(BM498)),HEX2DEC(BN498)))</f>
        <v>FA</v>
      </c>
      <c r="BM495" s="37"/>
      <c r="BN495" s="37"/>
      <c r="BO495" s="37"/>
    </row>
    <row r="496" spans="2:67" x14ac:dyDescent="0.25">
      <c r="B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BB496" s="75">
        <f t="shared" ref="BB496:BE496" si="277">IF(BIN2DEC(LEFT(HEX2BIN(BB503,8),1))=0,0,1)</f>
        <v>1</v>
      </c>
      <c r="BC496" s="75">
        <f t="shared" si="277"/>
        <v>1</v>
      </c>
      <c r="BD496" s="75">
        <f t="shared" si="277"/>
        <v>1</v>
      </c>
      <c r="BE496" s="75">
        <f t="shared" si="277"/>
        <v>0</v>
      </c>
      <c r="BF496" s="43"/>
      <c r="BG496" s="43"/>
      <c r="BH496" s="43"/>
      <c r="BI496" s="43"/>
      <c r="BJ496" s="43"/>
      <c r="BK496" s="37"/>
      <c r="BL496" s="37"/>
      <c r="BM496" s="37"/>
      <c r="BN496" s="37"/>
      <c r="BO496" s="37"/>
    </row>
    <row r="497" spans="2:74" x14ac:dyDescent="0.25">
      <c r="B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BB497" s="75">
        <f t="shared" ref="BB497:BE497" si="278">IF(BIN2DEC(LEFT(HEX2BIN(BB504,8),1))=0,0,1)</f>
        <v>1</v>
      </c>
      <c r="BC497" s="75">
        <f t="shared" si="278"/>
        <v>0</v>
      </c>
      <c r="BD497" s="75">
        <f t="shared" si="278"/>
        <v>1</v>
      </c>
      <c r="BE497" s="75">
        <f t="shared" si="278"/>
        <v>0</v>
      </c>
      <c r="BF497" s="43"/>
      <c r="BG497" s="43"/>
      <c r="BH497" s="43"/>
      <c r="BI497" s="43"/>
      <c r="BJ497" s="43"/>
      <c r="BK497" s="37"/>
      <c r="BL497" s="37"/>
      <c r="BM497" s="37"/>
      <c r="BN497" s="37"/>
      <c r="BO497" s="37"/>
    </row>
    <row r="498" spans="2:74" ht="15.75" x14ac:dyDescent="0.25">
      <c r="B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H498" s="76" t="s">
        <v>284</v>
      </c>
      <c r="AW498" s="116" t="s">
        <v>241</v>
      </c>
      <c r="AX498" s="116"/>
      <c r="AY498" s="116"/>
      <c r="AZ498" s="116"/>
      <c r="BB498" s="43"/>
      <c r="BC498" s="43"/>
      <c r="BD498" s="43"/>
      <c r="BE498" s="43"/>
      <c r="BF498" s="43"/>
      <c r="BG498" s="43"/>
      <c r="BH498" s="43"/>
      <c r="BI498" s="43"/>
      <c r="BJ498" s="43"/>
      <c r="BK498" t="str">
        <f>DEC2HEX(_xlfn.BITXOR(_xlfn.BITXOR(BIN2DEC(RIGHT(HEX2BIN(BE501,8)&amp;LEFT(HEX2BIN($A$1,8),1),8)),HEX2DEC($B$1)),HEX2DEC(BE501)))</f>
        <v>48</v>
      </c>
      <c r="BL498">
        <f>BE502</f>
        <v>49</v>
      </c>
      <c r="BM498">
        <f>BE503</f>
        <v>60</v>
      </c>
      <c r="BN498" t="str">
        <f>DEC2HEX(_xlfn.BITXOR(BIN2DEC(RIGHT(HEX2BIN(BE504,8)&amp;LEFT(HEX2BIN($A$1,8),1),8)),HEX2DEC($B$1)))</f>
        <v>9B</v>
      </c>
      <c r="BO498" s="37"/>
    </row>
    <row r="499" spans="2:74" x14ac:dyDescent="0.25">
      <c r="B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W499" s="37"/>
      <c r="AX499" s="37"/>
      <c r="AY499" s="37"/>
      <c r="AZ499" s="37"/>
      <c r="BB499" s="43"/>
      <c r="BC499" s="43"/>
      <c r="BD499" s="43"/>
      <c r="BE499" s="43"/>
      <c r="BF499" s="43"/>
      <c r="BG499" s="43"/>
      <c r="BH499" s="43"/>
      <c r="BI499" s="43"/>
      <c r="BJ499" s="43"/>
      <c r="BK499" s="37"/>
      <c r="BL499" s="37"/>
      <c r="BM499" s="37"/>
      <c r="BN499" s="37"/>
      <c r="BO499" s="37"/>
    </row>
    <row r="500" spans="2:74" x14ac:dyDescent="0.25">
      <c r="B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H500" s="116" t="s">
        <v>256</v>
      </c>
      <c r="AI500" s="116"/>
      <c r="AJ500" s="116"/>
      <c r="AK500" s="116"/>
      <c r="AR500" s="116" t="s">
        <v>221</v>
      </c>
      <c r="AS500" s="116"/>
      <c r="AT500" s="116"/>
      <c r="AU500" s="116"/>
      <c r="AW500" s="116" t="s">
        <v>222</v>
      </c>
      <c r="AX500" s="116"/>
      <c r="AY500" s="116"/>
      <c r="AZ500" s="116"/>
      <c r="BB500" s="118" t="s">
        <v>227</v>
      </c>
      <c r="BC500" s="118"/>
      <c r="BD500" s="118"/>
      <c r="BE500" s="118"/>
      <c r="BF500" s="43"/>
      <c r="BG500" s="43"/>
      <c r="BH500" s="43"/>
      <c r="BI500" s="43"/>
      <c r="BJ500" s="43"/>
      <c r="BK500" s="43"/>
      <c r="BL500" s="116" t="s">
        <v>230</v>
      </c>
      <c r="BM500" s="116"/>
      <c r="BN500" s="116"/>
      <c r="BO500" s="116"/>
    </row>
    <row r="501" spans="2:74" x14ac:dyDescent="0.25">
      <c r="B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H501" s="14" t="str">
        <f>H33</f>
        <v>99</v>
      </c>
      <c r="AI501" s="14" t="str">
        <f>K33</f>
        <v>12</v>
      </c>
      <c r="AJ501" s="14" t="str">
        <f>N33</f>
        <v>11</v>
      </c>
      <c r="AK501" s="14" t="str">
        <f>Q33</f>
        <v>3A</v>
      </c>
      <c r="AM501" s="1" t="str">
        <f>BL459</f>
        <v>5F</v>
      </c>
      <c r="AN501" s="37" t="str">
        <f t="shared" ref="AN501:AP504" si="279">BM459</f>
        <v>4F</v>
      </c>
      <c r="AO501" s="37" t="str">
        <f t="shared" si="279"/>
        <v>19</v>
      </c>
      <c r="AP501" s="37" t="str">
        <f t="shared" si="279"/>
        <v>14</v>
      </c>
      <c r="AR501" s="37" t="str">
        <f>DEC2HEX(_xlfn.BITXOR(HEX2DEC(AH501),HEX2DEC(AM501)))</f>
        <v>C6</v>
      </c>
      <c r="AS501" s="37" t="str">
        <f t="shared" ref="AS501:AS504" si="280">DEC2HEX(_xlfn.BITXOR(HEX2DEC(AI501),HEX2DEC(AN501)))</f>
        <v>5D</v>
      </c>
      <c r="AT501" s="37" t="str">
        <f t="shared" ref="AT501:AT504" si="281">DEC2HEX(_xlfn.BITXOR(HEX2DEC(AJ501),HEX2DEC(AO501)))</f>
        <v>8</v>
      </c>
      <c r="AU501" s="37" t="str">
        <f t="shared" ref="AU501:AU504" si="282">DEC2HEX(_xlfn.BITXOR(HEX2DEC(AK501),HEX2DEC(AP501)))</f>
        <v>2E</v>
      </c>
      <c r="AW501" s="37" t="s">
        <v>144</v>
      </c>
      <c r="AX501" s="37" t="s">
        <v>109</v>
      </c>
      <c r="AY501" s="37">
        <v>30</v>
      </c>
      <c r="AZ501" s="37">
        <v>31</v>
      </c>
      <c r="BB501" s="43" t="str">
        <f>AW501</f>
        <v>B4</v>
      </c>
      <c r="BC501" s="43" t="str">
        <f t="shared" ref="BC501" si="283">AX501</f>
        <v>4C</v>
      </c>
      <c r="BD501" s="43">
        <f t="shared" ref="BD501" si="284">AY501</f>
        <v>30</v>
      </c>
      <c r="BE501" s="28">
        <f t="shared" ref="BE501" si="285">AZ501</f>
        <v>31</v>
      </c>
      <c r="BF501" s="43"/>
      <c r="BG501" s="34">
        <v>2</v>
      </c>
      <c r="BH501" s="34">
        <v>3</v>
      </c>
      <c r="BI501" s="34">
        <v>1</v>
      </c>
      <c r="BJ501" s="34">
        <v>1</v>
      </c>
      <c r="BK501" s="43"/>
      <c r="BL501" s="44" t="str">
        <f>DEC2HEX(_xlfn.BITXOR(_xlfn.BITXOR(_xlfn.BITXOR(HEX2DEC(IF(AND(BG501=3,BB494=0),DEC2HEX(_xlfn.BITXOR(BIN2DEC((RIGHT(HEX2BIN(BB501,8)&amp;LEFT(HEX2BIN($A$1,8),1),8))),HEX2DEC(BB501)),2),IF(AND(BG501=2,BB494=0),BIN2HEX(RIGHT(HEX2BIN(BB501,8)&amp;LEFT(HEX2BIN($A$1,8),1),8)),IF(AND(BG501=2,BB494=1),DEC2HEX(_xlfn.BITXOR(BIN2DEC(RIGHT(HEX2BIN(BB501,8)&amp;LEFT(HEX2BIN($A$1,8),1),8)),HEX2DEC($B$1))),IF(AND(BG501=3,BB494=1),DEC2HEX(_xlfn.BITXOR(_xlfn.BITXOR(BIN2DEC(RIGHT(HEX2BIN(BB501,8)&amp;LEFT(HEX2BIN($A$1,8),1),8)),HEX2DEC($B$1)),HEX2DEC(BB501))),BB501))))),HEX2DEC(IF(AND(BH501=3,BB495=0),DEC2HEX(_xlfn.BITXOR(BIN2DEC((RIGHT(HEX2BIN(BB502,8)&amp;LEFT(HEX2BIN($A$1,8),1),8))),HEX2DEC(BB502)),2),IF(AND(BH501=2,BB495=0),BIN2HEX(RIGHT(HEX2BIN(BB502,8)&amp;LEFT(HEX2BIN($A$1,8),1),8)),IF(AND(BH501=2,BB495=1),DEC2HEX(_xlfn.BITXOR(BIN2DEC(RIGHT(HEX2BIN(BB502,8)&amp;LEFT(HEX2BIN($A$1,8),1),8)),HEX2DEC($B$1))),IF(AND(BH501=3,BB495=1),DEC2HEX(_xlfn.BITXOR(_xlfn.BITXOR(BIN2DEC(RIGHT(HEX2BIN(BB502,8)&amp;LEFT(HEX2BIN($A$1,8),1),8)),HEX2DEC($B$1)),HEX2DEC(BB502))),BB502)))))),HEX2DEC(IF(AND(BI501=3,BB496=0),DEC2HEX(_xlfn.BITXOR(BIN2DEC((RIGHT(HEX2BIN(BB503,8)&amp;LEFT(HEX2BIN($A$1,8),1),8))),HEX2DEC(BB503)),2),IF(AND(BI501=2,BB496=0),BIN2HEX(RIGHT(HEX2BIN(BB503,8)&amp;LEFT(HEX2BIN($A$1,8),1),8)),IF(AND(BI501=2,BB496=1),DEC2HEX(_xlfn.BITXOR(BIN2DEC(RIGHT(HEX2BIN(BB503,8)&amp;LEFT(HEX2BIN($A$1,8),1),8)),HEX2DEC($B$1))),IF(AND(BI501=3,BB496=1),DEC2HEX(_xlfn.BITXOR(_xlfn.BITXOR(BIN2DEC(RIGHT(HEX2BIN(BB503,8)&amp;LEFT(HEX2BIN($A$1,8),1),8)),HEX2DEC($B$1)),HEX2DEC(BB503))),BB503)))))),HEX2DEC(IF(AND(BJ501=3,BB497=0),DEC2HEX(_xlfn.BITXOR(BIN2DEC((RIGHT(HEX2BIN(BB504,8)&amp;LEFT(HEX2BIN($A$1,8),1),8))),HEX2DEC(BB504)),2),IF(AND(BJ501=2,BB497=0),BIN2HEX(RIGHT(HEX2BIN(BB504,8)&amp;LEFT(HEX2BIN($A$1,8),1),8)),IF(AND(BJ501=2,BB497=1),DEC2HEX(_xlfn.BITXOR(BIN2DEC(RIGHT(HEX2BIN(BB504,8)&amp;LEFT(HEX2BIN($A$1,8),1),8)),HEX2DEC($B$1))),IF(AND(BJ501=3,BB497=1),DEC2HEX(_xlfn.BITXOR(_xlfn.BITXOR(BIN2DEC(RIGHT(HEX2BIN(BB504,8)&amp;LEFT(HEX2BIN($A$1,8),1),8)),HEX2DEC($B$1)),HEX2DEC(BB504))),BB504)))))))</f>
        <v>74</v>
      </c>
      <c r="BM501" s="44" t="str">
        <f>DEC2HEX(_xlfn.BITXOR(_xlfn.BITXOR(_xlfn.BITXOR(HEX2DEC(IF(AND(BG501=3,BC494=0),DEC2HEX(_xlfn.BITXOR(BIN2DEC((RIGHT(HEX2BIN(BC501,8)&amp;LEFT(HEX2BIN($A$1,8),1),8))),HEX2DEC(BC501)),2),IF(AND(BG501=2,BC494=0),BIN2HEX(RIGHT(HEX2BIN(BC501,8)&amp;LEFT(HEX2BIN($A$1,8),1),8)),IF(AND(BG501=2,BC494=1),DEC2HEX(_xlfn.BITXOR(BIN2DEC(RIGHT(HEX2BIN(BC501,8)&amp;LEFT(HEX2BIN($A$1,8),1),8)),HEX2DEC($B$1))),IF(AND(BG501=3,BC494=1),DEC2HEX(_xlfn.BITXOR(_xlfn.BITXOR(BIN2DEC(RIGHT(HEX2BIN(BC501,8)&amp;LEFT(HEX2BIN($A$1,8),1),8)),HEX2DEC($B$1)),HEX2DEC(BC501))),BC501))))),HEX2DEC(IF(AND(BH501=3,BC495=0),DEC2HEX(_xlfn.BITXOR(BIN2DEC((RIGHT(HEX2BIN(BC502,8)&amp;LEFT(HEX2BIN($A$1,8),1),8))),HEX2DEC(BC502)),2),IF(AND(BH501=2,BC495=0),BIN2HEX(RIGHT(HEX2BIN(BC502,8)&amp;LEFT(HEX2BIN($A$1,8),1),8)),IF(AND(BH501=2,BC495=1),DEC2HEX(_xlfn.BITXOR(BIN2DEC(RIGHT(HEX2BIN(BC502,8)&amp;LEFT(HEX2BIN($A$1,8),1),8)),HEX2DEC($B$1))),IF(AND(BH501=3,BC495=1),DEC2HEX(_xlfn.BITXOR(_xlfn.BITXOR(BIN2DEC(RIGHT(HEX2BIN(BC502,8)&amp;LEFT(HEX2BIN($A$1,8),1),8)),HEX2DEC($B$1)),HEX2DEC(BC502))),BC502)))))),HEX2DEC(IF(AND(BI501=3,BC496=0),DEC2HEX(_xlfn.BITXOR(BIN2DEC((RIGHT(HEX2BIN(BC503,8)&amp;LEFT(HEX2BIN($A$1,8),1),8))),HEX2DEC(BC503)),2),IF(AND(BI501=2,BC496=0),BIN2HEX(RIGHT(HEX2BIN(BC503,8)&amp;LEFT(HEX2BIN($A$1,8),1),8)),IF(AND(BI501=2,BC496=1),DEC2HEX(_xlfn.BITXOR(BIN2DEC(RIGHT(HEX2BIN(BC503,8)&amp;LEFT(HEX2BIN($A$1,8),1),8)),HEX2DEC($B$1))),IF(AND(BI501=3,BC496=1),DEC2HEX(_xlfn.BITXOR(_xlfn.BITXOR(BIN2DEC(RIGHT(HEX2BIN(BC503,8)&amp;LEFT(HEX2BIN($A$1,8),1),8)),HEX2DEC($B$1)),HEX2DEC(BC503))),BC503)))))),HEX2DEC(IF(AND(BJ501=3,BC497=0),DEC2HEX(_xlfn.BITXOR(BIN2DEC((RIGHT(HEX2BIN(BC504,8)&amp;LEFT(HEX2BIN($A$1,8),1),8))),HEX2DEC(BC504)),2),IF(AND(BJ501=2,BC497=0),BIN2HEX(RIGHT(HEX2BIN(BC504,8)&amp;LEFT(HEX2BIN($A$1,8),1),8)),IF(AND(BJ501=2,BC497=1),DEC2HEX(_xlfn.BITXOR(BIN2DEC(RIGHT(HEX2BIN(BC504,8)&amp;LEFT(HEX2BIN($A$1,8),1),8)),HEX2DEC($B$1))),IF(AND(BJ501=3,BC497=1),DEC2HEX(_xlfn.BITXOR(_xlfn.BITXOR(BIN2DEC(RIGHT(HEX2BIN(BC504,8)&amp;LEFT(HEX2BIN($A$1,8),1),8)),HEX2DEC($B$1)),HEX2DEC(BC504))),BC504)))))))</f>
        <v>F4</v>
      </c>
      <c r="BN501" s="41" t="str">
        <f>DEC2HEX(_xlfn.BITXOR(_xlfn.BITXOR(_xlfn.BITXOR(HEX2DEC(IF(AND(BG501=3,BD494=0),DEC2HEX(_xlfn.BITXOR(BIN2DEC((RIGHT(HEX2BIN(BD501,8)&amp;LEFT(HEX2BIN($A$1,8),1),8))),HEX2DEC(BD501)),2),IF(AND(BG501=2,BD494=0),BIN2HEX(RIGHT(HEX2BIN(BD501,8)&amp;LEFT(HEX2BIN($A$1,8),1),8)),IF(AND(BG501=2,BD494=1),DEC2HEX(_xlfn.BITXOR(BIN2DEC(RIGHT(HEX2BIN(BD501,8)&amp;LEFT(HEX2BIN($A$1,8),1),8)),HEX2DEC($B$1))),IF(AND(BG501=3,BD494=1),DEC2HEX(_xlfn.BITXOR(_xlfn.BITXOR(BIN2DEC(RIGHT(HEX2BIN(BD501,8)&amp;LEFT(HEX2BIN($A$1,8),1),8)),HEX2DEC($B$1)),HEX2DEC(BD501))),BD501))))),HEX2DEC(IF(AND(BH501=3,BD495=0),DEC2HEX(_xlfn.BITXOR(BIN2DEC((RIGHT(HEX2BIN(BD502,8)&amp;LEFT(HEX2BIN($A$1,8),1),8))),HEX2DEC(BD502)),2),IF(AND(BH501=2,BD495=0),BIN2HEX(RIGHT(HEX2BIN(BD502,8)&amp;LEFT(HEX2BIN($A$1,8),1),8)),IF(AND(BH501=2,BD495=1),DEC2HEX(_xlfn.BITXOR(BIN2DEC(RIGHT(HEX2BIN(BD502,8)&amp;LEFT(HEX2BIN($A$1,8),1),8)),HEX2DEC($B$1))),IF(AND(BH501=3,BD495=1),DEC2HEX(_xlfn.BITXOR(_xlfn.BITXOR(BIN2DEC(RIGHT(HEX2BIN(BD502,8)&amp;LEFT(HEX2BIN($A$1,8),1),8)),HEX2DEC($B$1)),HEX2DEC(BD502))),BD502)))))),HEX2DEC(IF(AND(BI501=3,BD496=0),DEC2HEX(_xlfn.BITXOR(BIN2DEC((RIGHT(HEX2BIN(BD503,8)&amp;LEFT(HEX2BIN($A$1,8),1),8))),HEX2DEC(BD503)),2),IF(AND(BI501=2,BD496=0),BIN2HEX(RIGHT(HEX2BIN(BD503,8)&amp;LEFT(HEX2BIN($A$1,8),1),8)),IF(AND(BI501=2,BD496=1),DEC2HEX(_xlfn.BITXOR(BIN2DEC(RIGHT(HEX2BIN(BD503,8)&amp;LEFT(HEX2BIN($A$1,8),1),8)),HEX2DEC($B$1))),IF(AND(BI501=3,BD496=1),DEC2HEX(_xlfn.BITXOR(_xlfn.BITXOR(BIN2DEC(RIGHT(HEX2BIN(BD503,8)&amp;LEFT(HEX2BIN($A$1,8),1),8)),HEX2DEC($B$1)),HEX2DEC(BD503))),BD503)))))),HEX2DEC(IF(AND(BJ501=3,BD497=0),DEC2HEX(_xlfn.BITXOR(BIN2DEC((RIGHT(HEX2BIN(BD504,8)&amp;LEFT(HEX2BIN($A$1,8),1),8))),HEX2DEC(BD504)),2),IF(AND(BJ501=2,BD497=0),BIN2HEX(RIGHT(HEX2BIN(BD504,8)&amp;LEFT(HEX2BIN($A$1,8),1),8)),IF(AND(BJ501=2,BD497=1),DEC2HEX(_xlfn.BITXOR(BIN2DEC(RIGHT(HEX2BIN(BD504,8)&amp;LEFT(HEX2BIN($A$1,8),1),8)),HEX2DEC($B$1))),IF(AND(BJ501=3,BD497=1),DEC2HEX(_xlfn.BITXOR(_xlfn.BITXOR(BIN2DEC(RIGHT(HEX2BIN(BD504,8)&amp;LEFT(HEX2BIN($A$1,8),1),8)),HEX2DEC($B$1)),HEX2DEC(BD504))),BD504)))))))</f>
        <v>D8</v>
      </c>
      <c r="BO501" s="44" t="str">
        <f>DEC2HEX(_xlfn.BITXOR(_xlfn.BITXOR(_xlfn.BITXOR(HEX2DEC(IF(AND(BG501=3,BE494=0),DEC2HEX(_xlfn.BITXOR(BIN2DEC((RIGHT(HEX2BIN(BE501,8)&amp;LEFT(HEX2BIN($A$1,8),1),8))),HEX2DEC(BE501)),2),IF(AND(BG501=2,BE494=0),BIN2HEX(RIGHT(HEX2BIN(BE501,8)&amp;LEFT(HEX2BIN($A$1,8),1),8)),IF(AND(BG501=2,BE494=1),DEC2HEX(_xlfn.BITXOR(BIN2DEC(RIGHT(HEX2BIN(BE501,8)&amp;LEFT(HEX2BIN($A$1,8),1),8)),HEX2DEC($B$1))),IF(AND(BG501=3,BE494=1),DEC2HEX(_xlfn.BITXOR(_xlfn.BITXOR(BIN2DEC(RIGHT(HEX2BIN(BE501,8)&amp;LEFT(HEX2BIN($A$1,8),1),8)),HEX2DEC($B$1)),HEX2DEC(BE501))),BE501))))),HEX2DEC(IF(AND(BH501=3,BE495=0),DEC2HEX(_xlfn.BITXOR(BIN2DEC((RIGHT(HEX2BIN(BE502,8)&amp;LEFT(HEX2BIN($A$1,8),1),8))),HEX2DEC(BE502)),2),IF(AND(BH501=2,BE495=0),BIN2HEX(RIGHT(HEX2BIN(BE502,8)&amp;LEFT(HEX2BIN($A$1,8),1),8)),IF(AND(BH501=2,BE495=1),DEC2HEX(_xlfn.BITXOR(BIN2DEC(RIGHT(HEX2BIN(BE502,8)&amp;LEFT(HEX2BIN($A$1,8),1),8)),HEX2DEC($B$1))),IF(AND(BH501=3,BE495=1),DEC2HEX(_xlfn.BITXOR(_xlfn.BITXOR(BIN2DEC(RIGHT(HEX2BIN(BE502,8)&amp;LEFT(HEX2BIN($A$1,8),1),8)),HEX2DEC($B$1)),HEX2DEC(BE502))),BE502)))))),HEX2DEC(IF(AND(BI501=3,BE496=0),DEC2HEX(_xlfn.BITXOR(BIN2DEC((RIGHT(HEX2BIN(BE503,8)&amp;LEFT(HEX2BIN($A$1,8),1),8))),HEX2DEC(BE503)),2),IF(AND(BI501=2,BE496=0),BIN2HEX(RIGHT(HEX2BIN(BE503,8)&amp;LEFT(HEX2BIN($A$1,8),1),8)),IF(AND(BI501=2,BE496=1),DEC2HEX(_xlfn.BITXOR(BIN2DEC(RIGHT(HEX2BIN(BE503,8)&amp;LEFT(HEX2BIN($A$1,8),1),8)),HEX2DEC($B$1))),IF(AND(BI501=3,BE496=1),DEC2HEX(_xlfn.BITXOR(_xlfn.BITXOR(BIN2DEC(RIGHT(HEX2BIN(BE503,8)&amp;LEFT(HEX2BIN($A$1,8),1),8)),HEX2DEC($B$1)),HEX2DEC(BE503))),BE503)))))),HEX2DEC(IF(AND(BJ501=3,BE497=0),DEC2HEX(_xlfn.BITXOR(BIN2DEC((RIGHT(HEX2BIN(BE504,8)&amp;LEFT(HEX2BIN($A$1,8),1),8))),HEX2DEC(BE504)),2),IF(AND(BJ501=2,BE497=0),BIN2HEX(RIGHT(HEX2BIN(BE504,8)&amp;LEFT(HEX2BIN($A$1,8),1),8)),IF(AND(BJ501=2,BE497=1),DEC2HEX(_xlfn.BITXOR(BIN2DEC(RIGHT(HEX2BIN(BE504,8)&amp;LEFT(HEX2BIN($A$1,8),1),8)),HEX2DEC($B$1))),IF(AND(BJ501=3,BE497=1),DEC2HEX(_xlfn.BITXOR(_xlfn.BITXOR(BIN2DEC(RIGHT(HEX2BIN(BE504,8)&amp;LEFT(HEX2BIN($A$1,8),1),8)),HEX2DEC($B$1)),HEX2DEC(BE504))),BE504)))))))</f>
        <v>99</v>
      </c>
      <c r="BS501" s="44" t="s">
        <v>79</v>
      </c>
      <c r="BT501" s="44" t="s">
        <v>178</v>
      </c>
      <c r="BU501" s="44" t="s">
        <v>126</v>
      </c>
      <c r="BV501" s="44" t="s">
        <v>68</v>
      </c>
    </row>
    <row r="502" spans="2:74" x14ac:dyDescent="0.25">
      <c r="B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H502" s="14" t="str">
        <f t="shared" ref="AH502:AH504" si="286">H34</f>
        <v>92</v>
      </c>
      <c r="AI502" s="14" t="str">
        <f t="shared" ref="AI502:AI504" si="287">K34</f>
        <v>3F</v>
      </c>
      <c r="AJ502" s="14" t="str">
        <f t="shared" ref="AJ502:AJ504" si="288">N34</f>
        <v>98</v>
      </c>
      <c r="AK502" s="14" t="str">
        <f t="shared" ref="AK502:AK504" si="289">Q34</f>
        <v>1D</v>
      </c>
      <c r="AM502" s="37" t="str">
        <f t="shared" ref="AM502:AM504" si="290">BL460</f>
        <v>36</v>
      </c>
      <c r="AN502" s="37" t="str">
        <f t="shared" si="279"/>
        <v>28</v>
      </c>
      <c r="AO502" s="37" t="str">
        <f t="shared" si="279"/>
        <v>B1</v>
      </c>
      <c r="AP502" s="37" t="str">
        <f t="shared" si="279"/>
        <v>1B</v>
      </c>
      <c r="AR502" s="37" t="str">
        <f t="shared" ref="AR502:AR504" si="291">DEC2HEX(_xlfn.BITXOR(HEX2DEC(AH502),HEX2DEC(AM502)))</f>
        <v>A4</v>
      </c>
      <c r="AS502" s="37" t="str">
        <f t="shared" si="280"/>
        <v>17</v>
      </c>
      <c r="AT502" s="37" t="str">
        <f t="shared" si="281"/>
        <v>29</v>
      </c>
      <c r="AU502" s="37" t="str">
        <f t="shared" si="282"/>
        <v>6</v>
      </c>
      <c r="AW502" s="37">
        <v>49</v>
      </c>
      <c r="AX502" s="37" t="s">
        <v>70</v>
      </c>
      <c r="AY502" s="37" t="s">
        <v>107</v>
      </c>
      <c r="AZ502" s="37" t="s">
        <v>268</v>
      </c>
      <c r="BB502" s="43" t="str">
        <f>AX502</f>
        <v>F0</v>
      </c>
      <c r="BC502" s="43" t="str">
        <f t="shared" ref="BC502" si="292">AY502</f>
        <v>A5</v>
      </c>
      <c r="BD502" s="43" t="str">
        <f t="shared" ref="BD502" si="293">AZ502</f>
        <v>6F</v>
      </c>
      <c r="BE502" s="29">
        <f>AW502</f>
        <v>49</v>
      </c>
      <c r="BF502" s="43"/>
      <c r="BG502" s="34">
        <v>1</v>
      </c>
      <c r="BH502" s="34">
        <v>2</v>
      </c>
      <c r="BI502" s="34">
        <v>3</v>
      </c>
      <c r="BJ502" s="34">
        <v>1</v>
      </c>
      <c r="BK502" s="43"/>
      <c r="BL502" s="44" t="str">
        <f>DEC2HEX(_xlfn.BITXOR(_xlfn.BITXOR(_xlfn.BITXOR(HEX2DEC(IF(AND(BG502=3,BB494=0),DEC2HEX(_xlfn.BITXOR(BIN2DEC((RIGHT(HEX2BIN(BB501,8)&amp;LEFT(HEX2BIN($A$1,8),1),8))),HEX2DEC(BB501)),2),IF(AND(BG502=2,BB494=0),BIN2HEX(RIGHT(HEX2BIN(BB501,8)&amp;LEFT(HEX2BIN($A$1,8),1),8)),IF(AND(BG502=2,BB494=1),DEC2HEX(_xlfn.BITXOR(BIN2DEC(RIGHT(HEX2BIN(BB501,8)&amp;LEFT(HEX2BIN($A$1,8),1),8)),HEX2DEC($B$1))),IF(AND(BG502=3,BB494=1),DEC2HEX(_xlfn.BITXOR(_xlfn.BITXOR(BIN2DEC(RIGHT(HEX2BIN(BB501,8)&amp;LEFT(HEX2BIN($A$1,8),1),8)),HEX2DEC($B$1)),HEX2DEC(BB501))),BB501))))),HEX2DEC(IF(AND(BH502=3,BB495=0),DEC2HEX(_xlfn.BITXOR(BIN2DEC((RIGHT(HEX2BIN(BB502,8)&amp;LEFT(HEX2BIN($A$1,8),1),8))),HEX2DEC(BB502)),2),IF(AND(BH502=2,BB495=0),BIN2HEX(RIGHT(HEX2BIN(BB502,8)&amp;LEFT(HEX2BIN($A$1,8),1),8)),IF(AND(BH502=2,BB495=1),DEC2HEX(_xlfn.BITXOR(BIN2DEC(RIGHT(HEX2BIN(BB502,8)&amp;LEFT(HEX2BIN($A$1,8),1),8)),HEX2DEC($B$1))),IF(AND(BH502=3,BB495=1),DEC2HEX(_xlfn.BITXOR(_xlfn.BITXOR(BIN2DEC(RIGHT(HEX2BIN(BB502,8)&amp;LEFT(HEX2BIN($A$1,8),1),8)),HEX2DEC($B$1)),HEX2DEC(BB502))),BB502)))))),HEX2DEC(IF(AND(BI502=3,BB496=0),DEC2HEX(_xlfn.BITXOR(BIN2DEC((RIGHT(HEX2BIN(BB503,8)&amp;LEFT(HEX2BIN($A$1,8),1),8))),HEX2DEC(BB503)),2),IF(AND(BI502=2,BB496=0),BIN2HEX(RIGHT(HEX2BIN(BB503,8)&amp;LEFT(HEX2BIN($A$1,8),1),8)),IF(AND(BI502=2,BB496=1),DEC2HEX(_xlfn.BITXOR(BIN2DEC(RIGHT(HEX2BIN(BB503,8)&amp;LEFT(HEX2BIN($A$1,8),1),8)),HEX2DEC($B$1))),IF(AND(BI502=3,BB496=1),DEC2HEX(_xlfn.BITXOR(_xlfn.BITXOR(BIN2DEC(RIGHT(HEX2BIN(BB503,8)&amp;LEFT(HEX2BIN($A$1,8),1),8)),HEX2DEC($B$1)),HEX2DEC(BB503))),BB503)))))),HEX2DEC(IF(AND(BJ502=3,BB497=0),DEC2HEX(_xlfn.BITXOR(BIN2DEC((RIGHT(HEX2BIN(BB504,8)&amp;LEFT(HEX2BIN($A$1,8),1),8))),HEX2DEC(BB504)),2),IF(AND(BJ502=2,BB497=0),BIN2HEX(RIGHT(HEX2BIN(BB504,8)&amp;LEFT(HEX2BIN($A$1,8),1),8)),IF(AND(BJ502=2,BB497=1),DEC2HEX(_xlfn.BITXOR(BIN2DEC(RIGHT(HEX2BIN(BB504,8)&amp;LEFT(HEX2BIN($A$1,8),1),8)),HEX2DEC($B$1))),IF(AND(BJ502=3,BB497=1),DEC2HEX(_xlfn.BITXOR(_xlfn.BITXOR(BIN2DEC(RIGHT(HEX2BIN(BB504,8)&amp;LEFT(HEX2BIN($A$1,8),1),8)),HEX2DEC($B$1)),HEX2DEC(BB504))),BB504)))))))</f>
        <v>C8</v>
      </c>
      <c r="BM502" s="44" t="str">
        <f>DEC2HEX(_xlfn.BITXOR(_xlfn.BITXOR(_xlfn.BITXOR(HEX2DEC(IF(AND(BG502=3,BC494=0),DEC2HEX(_xlfn.BITXOR(BIN2DEC((RIGHT(HEX2BIN(BC501,8)&amp;LEFT(HEX2BIN($A$1,8),1),8))),HEX2DEC(BC501)),2),IF(AND(BG502=2,BC494=0),BIN2HEX(RIGHT(HEX2BIN(BC501,8)&amp;LEFT(HEX2BIN($A$1,8),1),8)),IF(AND(BG502=2,BC494=1),DEC2HEX(_xlfn.BITXOR(BIN2DEC(RIGHT(HEX2BIN(BC501,8)&amp;LEFT(HEX2BIN($A$1,8),1),8)),HEX2DEC($B$1))),IF(AND(BG502=3,BC494=1),DEC2HEX(_xlfn.BITXOR(_xlfn.BITXOR(BIN2DEC(RIGHT(HEX2BIN(BC501,8)&amp;LEFT(HEX2BIN($A$1,8),1),8)),HEX2DEC($B$1)),HEX2DEC(BC501))),BC501))))),HEX2DEC(IF(AND(BH502=3,BC495=0),DEC2HEX(_xlfn.BITXOR(BIN2DEC((RIGHT(HEX2BIN(BC502,8)&amp;LEFT(HEX2BIN($A$1,8),1),8))),HEX2DEC(BC502)),2),IF(AND(BH502=2,BC495=0),BIN2HEX(RIGHT(HEX2BIN(BC502,8)&amp;LEFT(HEX2BIN($A$1,8),1),8)),IF(AND(BH502=2,BC495=1),DEC2HEX(_xlfn.BITXOR(BIN2DEC(RIGHT(HEX2BIN(BC502,8)&amp;LEFT(HEX2BIN($A$1,8),1),8)),HEX2DEC($B$1))),IF(AND(BH502=3,BC495=1),DEC2HEX(_xlfn.BITXOR(_xlfn.BITXOR(BIN2DEC(RIGHT(HEX2BIN(BC502,8)&amp;LEFT(HEX2BIN($A$1,8),1),8)),HEX2DEC($B$1)),HEX2DEC(BC502))),BC502)))))),HEX2DEC(IF(AND(BI502=3,BC496=0),DEC2HEX(_xlfn.BITXOR(BIN2DEC((RIGHT(HEX2BIN(BC503,8)&amp;LEFT(HEX2BIN($A$1,8),1),8))),HEX2DEC(BC503)),2),IF(AND(BI502=2,BC496=0),BIN2HEX(RIGHT(HEX2BIN(BC503,8)&amp;LEFT(HEX2BIN($A$1,8),1),8)),IF(AND(BI502=2,BC496=1),DEC2HEX(_xlfn.BITXOR(BIN2DEC(RIGHT(HEX2BIN(BC503,8)&amp;LEFT(HEX2BIN($A$1,8),1),8)),HEX2DEC($B$1))),IF(AND(BI502=3,BC496=1),DEC2HEX(_xlfn.BITXOR(_xlfn.BITXOR(BIN2DEC(RIGHT(HEX2BIN(BC503,8)&amp;LEFT(HEX2BIN($A$1,8),1),8)),HEX2DEC($B$1)),HEX2DEC(BC503))),BC503)))))),HEX2DEC(IF(AND(BJ502=3,BC497=0),DEC2HEX(_xlfn.BITXOR(BIN2DEC((RIGHT(HEX2BIN(BC504,8)&amp;LEFT(HEX2BIN($A$1,8),1),8))),HEX2DEC(BC504)),2),IF(AND(BJ502=2,BC497=0),BIN2HEX(RIGHT(HEX2BIN(BC504,8)&amp;LEFT(HEX2BIN($A$1,8),1),8)),IF(AND(BJ502=2,BC497=1),DEC2HEX(_xlfn.BITXOR(BIN2DEC(RIGHT(HEX2BIN(BC504,8)&amp;LEFT(HEX2BIN($A$1,8),1),8)),HEX2DEC($B$1))),IF(AND(BJ502=3,BC497=1),DEC2HEX(_xlfn.BITXOR(_xlfn.BITXOR(BIN2DEC(RIGHT(HEX2BIN(BC504,8)&amp;LEFT(HEX2BIN($A$1,8),1),8)),HEX2DEC($B$1)),HEX2DEC(BC504))),BC504)))))))</f>
        <v>20</v>
      </c>
      <c r="BN502" s="44" t="str">
        <f>DEC2HEX(_xlfn.BITXOR(_xlfn.BITXOR(_xlfn.BITXOR(HEX2DEC(IF(AND(BG502=3,BD494=0),DEC2HEX(_xlfn.BITXOR(BIN2DEC((RIGHT(HEX2BIN(BD501,8)&amp;LEFT(HEX2BIN($A$1,8),1),8))),HEX2DEC(BD501)),2),IF(AND(BG502=2,BD494=0),BIN2HEX(RIGHT(HEX2BIN(BD501,8)&amp;LEFT(HEX2BIN($A$1,8),1),8)),IF(AND(BG502=2,BD494=1),DEC2HEX(_xlfn.BITXOR(BIN2DEC(RIGHT(HEX2BIN(BD501,8)&amp;LEFT(HEX2BIN($A$1,8),1),8)),HEX2DEC($B$1))),IF(AND(BG502=3,BD494=1),DEC2HEX(_xlfn.BITXOR(_xlfn.BITXOR(BIN2DEC(RIGHT(HEX2BIN(BD501,8)&amp;LEFT(HEX2BIN($A$1,8),1),8)),HEX2DEC($B$1)),HEX2DEC(BD501))),BD501))))),HEX2DEC(IF(AND(BH502=3,BD495=0),DEC2HEX(_xlfn.BITXOR(BIN2DEC((RIGHT(HEX2BIN(BD502,8)&amp;LEFT(HEX2BIN($A$1,8),1),8))),HEX2DEC(BD502)),2),IF(AND(BH502=2,BD495=0),BIN2HEX(RIGHT(HEX2BIN(BD502,8)&amp;LEFT(HEX2BIN($A$1,8),1),8)),IF(AND(BH502=2,BD495=1),DEC2HEX(_xlfn.BITXOR(BIN2DEC(RIGHT(HEX2BIN(BD502,8)&amp;LEFT(HEX2BIN($A$1,8),1),8)),HEX2DEC($B$1))),IF(AND(BH502=3,BD495=1),DEC2HEX(_xlfn.BITXOR(_xlfn.BITXOR(BIN2DEC(RIGHT(HEX2BIN(BD502,8)&amp;LEFT(HEX2BIN($A$1,8),1),8)),HEX2DEC($B$1)),HEX2DEC(BD502))),BD502)))))),HEX2DEC(IF(AND(BI502=3,BD496=0),DEC2HEX(_xlfn.BITXOR(BIN2DEC((RIGHT(HEX2BIN(BD503,8)&amp;LEFT(HEX2BIN($A$1,8),1),8))),HEX2DEC(BD503)),2),IF(AND(BI502=2,BD496=0),BIN2HEX(RIGHT(HEX2BIN(BD503,8)&amp;LEFT(HEX2BIN($A$1,8),1),8)),IF(AND(BI502=2,BD496=1),DEC2HEX(_xlfn.BITXOR(BIN2DEC(RIGHT(HEX2BIN(BD503,8)&amp;LEFT(HEX2BIN($A$1,8),1),8)),HEX2DEC($B$1))),IF(AND(BI502=3,BD496=1),DEC2HEX(_xlfn.BITXOR(_xlfn.BITXOR(BIN2DEC(RIGHT(HEX2BIN(BD503,8)&amp;LEFT(HEX2BIN($A$1,8),1),8)),HEX2DEC($B$1)),HEX2DEC(BD503))),BD503)))))),HEX2DEC(IF(AND(BJ502=3,BD497=0),DEC2HEX(_xlfn.BITXOR(BIN2DEC((RIGHT(HEX2BIN(BD504,8)&amp;LEFT(HEX2BIN($A$1,8),1),8))),HEX2DEC(BD504)),2),IF(AND(BJ502=2,BD497=0),BIN2HEX(RIGHT(HEX2BIN(BD504,8)&amp;LEFT(HEX2BIN($A$1,8),1),8)),IF(AND(BJ502=2,BD497=1),DEC2HEX(_xlfn.BITXOR(BIN2DEC(RIGHT(HEX2BIN(BD504,8)&amp;LEFT(HEX2BIN($A$1,8),1),8)),HEX2DEC($B$1))),IF(AND(BJ502=3,BD497=1),DEC2HEX(_xlfn.BITXOR(_xlfn.BITXOR(BIN2DEC(RIGHT(HEX2BIN(BD504,8)&amp;LEFT(HEX2BIN($A$1,8),1),8)),HEX2DEC($B$1)),HEX2DEC(BD504))),BD504)))))))</f>
        <v>66</v>
      </c>
      <c r="BO502" s="44" t="str">
        <f>DEC2HEX(_xlfn.BITXOR(_xlfn.BITXOR(_xlfn.BITXOR(HEX2DEC(IF(AND(BG502=3,BE494=0),DEC2HEX(_xlfn.BITXOR(BIN2DEC((RIGHT(HEX2BIN(BE501,8)&amp;LEFT(HEX2BIN($A$1,8),1),8))),HEX2DEC(BE501)),2),IF(AND(BG502=2,BE494=0),BIN2HEX(RIGHT(HEX2BIN(BE501,8)&amp;LEFT(HEX2BIN($A$1,8),1),8)),IF(AND(BG502=2,BE494=1),DEC2HEX(_xlfn.BITXOR(BIN2DEC(RIGHT(HEX2BIN(BE501,8)&amp;LEFT(HEX2BIN($A$1,8),1),8)),HEX2DEC($B$1))),IF(AND(BG502=3,BE494=1),DEC2HEX(_xlfn.BITXOR(_xlfn.BITXOR(BIN2DEC(RIGHT(HEX2BIN(BE501,8)&amp;LEFT(HEX2BIN($A$1,8),1),8)),HEX2DEC($B$1)),HEX2DEC(BE501))),BE501))))),HEX2DEC(IF(AND(BH502=3,BE495=0),DEC2HEX(_xlfn.BITXOR(BIN2DEC((RIGHT(HEX2BIN(BE502,8)&amp;LEFT(HEX2BIN($A$1,8),1),8))),HEX2DEC(BE502)),2),IF(AND(BH502=2,BE495=0),BIN2HEX(RIGHT(HEX2BIN(BE502,8)&amp;LEFT(HEX2BIN($A$1,8),1),8)),IF(AND(BH502=2,BE495=1),DEC2HEX(_xlfn.BITXOR(BIN2DEC(RIGHT(HEX2BIN(BE502,8)&amp;LEFT(HEX2BIN($A$1,8),1),8)),HEX2DEC($B$1))),IF(AND(BH502=3,BE495=1),DEC2HEX(_xlfn.BITXOR(_xlfn.BITXOR(BIN2DEC(RIGHT(HEX2BIN(BE502,8)&amp;LEFT(HEX2BIN($A$1,8),1),8)),HEX2DEC($B$1)),HEX2DEC(BE502))),BE502)))))),HEX2DEC(IF(AND(BI502=3,BE496=0),DEC2HEX(_xlfn.BITXOR(BIN2DEC((RIGHT(HEX2BIN(BE503,8)&amp;LEFT(HEX2BIN($A$1,8),1),8))),HEX2DEC(BE503)),2),IF(AND(BI502=2,BE496=0),BIN2HEX(RIGHT(HEX2BIN(BE503,8)&amp;LEFT(HEX2BIN($A$1,8),1),8)),IF(AND(BI502=2,BE496=1),DEC2HEX(_xlfn.BITXOR(BIN2DEC(RIGHT(HEX2BIN(BE503,8)&amp;LEFT(HEX2BIN($A$1,8),1),8)),HEX2DEC($B$1))),IF(AND(BI502=3,BE496=1),DEC2HEX(_xlfn.BITXOR(_xlfn.BITXOR(BIN2DEC(RIGHT(HEX2BIN(BE503,8)&amp;LEFT(HEX2BIN($A$1,8),1),8)),HEX2DEC($B$1)),HEX2DEC(BE503))),BE503)))))),HEX2DEC(IF(AND(BJ502=3,BE497=0),DEC2HEX(_xlfn.BITXOR(BIN2DEC((RIGHT(HEX2BIN(BE504,8)&amp;LEFT(HEX2BIN($A$1,8),1),8))),HEX2DEC(BE504)),2),IF(AND(BJ502=2,BE497=0),BIN2HEX(RIGHT(HEX2BIN(BE504,8)&amp;LEFT(HEX2BIN($A$1,8),1),8)),IF(AND(BJ502=2,BE497=1),DEC2HEX(_xlfn.BITXOR(BIN2DEC(RIGHT(HEX2BIN(BE504,8)&amp;LEFT(HEX2BIN($A$1,8),1),8)),HEX2DEC($B$1))),IF(AND(BJ502=3,BE497=1),DEC2HEX(_xlfn.BITXOR(_xlfn.BITXOR(BIN2DEC(RIGHT(HEX2BIN(BE504,8)&amp;LEFT(HEX2BIN($A$1,8),1),8)),HEX2DEC($B$1)),HEX2DEC(BE504))),BE504)))))))</f>
        <v>43</v>
      </c>
      <c r="BS502" s="44" t="s">
        <v>87</v>
      </c>
      <c r="BT502" s="44" t="s">
        <v>82</v>
      </c>
      <c r="BU502" s="44">
        <v>98</v>
      </c>
      <c r="BV502" s="44" t="s">
        <v>99</v>
      </c>
    </row>
    <row r="503" spans="2:74" x14ac:dyDescent="0.25">
      <c r="B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H503" s="14" t="str">
        <f t="shared" si="286"/>
        <v>D6</v>
      </c>
      <c r="AI503" s="14" t="str">
        <f t="shared" si="287"/>
        <v>80</v>
      </c>
      <c r="AJ503" s="14" t="str">
        <f t="shared" si="288"/>
        <v>C5</v>
      </c>
      <c r="AK503" s="14" t="str">
        <f t="shared" si="289"/>
        <v>3E</v>
      </c>
      <c r="AM503" s="37" t="str">
        <f t="shared" si="290"/>
        <v>56</v>
      </c>
      <c r="AN503" s="37" t="str">
        <f t="shared" si="279"/>
        <v>10</v>
      </c>
      <c r="AO503" s="37" t="str">
        <f t="shared" si="279"/>
        <v>74</v>
      </c>
      <c r="AP503" s="37" t="str">
        <f t="shared" si="279"/>
        <v>D1</v>
      </c>
      <c r="AR503" s="37" t="str">
        <f t="shared" si="291"/>
        <v>80</v>
      </c>
      <c r="AS503" s="37" t="str">
        <f t="shared" si="280"/>
        <v>90</v>
      </c>
      <c r="AT503" s="37" t="str">
        <f t="shared" si="281"/>
        <v>B1</v>
      </c>
      <c r="AU503" s="37" t="str">
        <f t="shared" si="282"/>
        <v>EF</v>
      </c>
      <c r="AW503" s="37" t="s">
        <v>206</v>
      </c>
      <c r="AX503" s="37">
        <v>60</v>
      </c>
      <c r="AY503" s="37" t="s">
        <v>67</v>
      </c>
      <c r="AZ503" s="37" t="s">
        <v>194</v>
      </c>
      <c r="BB503" s="43" t="str">
        <f>AY503</f>
        <v>C8</v>
      </c>
      <c r="BC503" s="43" t="str">
        <f>AZ503</f>
        <v>DF</v>
      </c>
      <c r="BD503" s="43" t="str">
        <f>AW503</f>
        <v>CD</v>
      </c>
      <c r="BE503" s="29">
        <f>AX503</f>
        <v>60</v>
      </c>
      <c r="BF503" s="43"/>
      <c r="BG503" s="34">
        <v>1</v>
      </c>
      <c r="BH503" s="34">
        <v>1</v>
      </c>
      <c r="BI503" s="34">
        <v>2</v>
      </c>
      <c r="BJ503" s="34">
        <v>3</v>
      </c>
      <c r="BK503" s="43"/>
      <c r="BL503" s="44" t="str">
        <f>DEC2HEX(_xlfn.BITXOR(_xlfn.BITXOR(_xlfn.BITXOR(HEX2DEC(IF(AND(BG503=3,BB494=0),DEC2HEX(_xlfn.BITXOR(BIN2DEC((RIGHT(HEX2BIN(BB501,8)&amp;LEFT(HEX2BIN($A$1,8),1),8))),HEX2DEC(BB501)),2),IF(AND(BG503=2,BB494=0),BIN2HEX(RIGHT(HEX2BIN(BB501,8)&amp;LEFT(HEX2BIN($A$1,8),1),8)),IF(AND(BG503=2,BB494=1),DEC2HEX(_xlfn.BITXOR(BIN2DEC(RIGHT(HEX2BIN(BB501,8)&amp;LEFT(HEX2BIN($A$1,8),1),8)),HEX2DEC($B$1))),IF(AND(BG503=3,BB494=1),DEC2HEX(_xlfn.BITXOR(_xlfn.BITXOR(BIN2DEC(RIGHT(HEX2BIN(BB501,8)&amp;LEFT(HEX2BIN($A$1,8),1),8)),HEX2DEC($B$1)),HEX2DEC(BB501))),BB501))))),HEX2DEC(IF(AND(BH503=3,BB495=0),DEC2HEX(_xlfn.BITXOR(BIN2DEC((RIGHT(HEX2BIN(BB502,8)&amp;LEFT(HEX2BIN($A$1,8),1),8))),HEX2DEC(BB502)),2),IF(AND(BH503=2,BB495=0),BIN2HEX(RIGHT(HEX2BIN(BB502,8)&amp;LEFT(HEX2BIN($A$1,8),1),8)),IF(AND(BH503=2,BB495=1),DEC2HEX(_xlfn.BITXOR(BIN2DEC(RIGHT(HEX2BIN(BB502,8)&amp;LEFT(HEX2BIN($A$1,8),1),8)),HEX2DEC($B$1))),IF(AND(BH503=3,BB495=1),DEC2HEX(_xlfn.BITXOR(_xlfn.BITXOR(BIN2DEC(RIGHT(HEX2BIN(BB502,8)&amp;LEFT(HEX2BIN($A$1,8),1),8)),HEX2DEC($B$1)),HEX2DEC(BB502))),BB502)))))),HEX2DEC(IF(AND(BI503=3,BB496=0),DEC2HEX(_xlfn.BITXOR(BIN2DEC((RIGHT(HEX2BIN(BB503,8)&amp;LEFT(HEX2BIN($A$1,8),1),8))),HEX2DEC(BB503)),2),IF(AND(BI503=2,BB496=0),BIN2HEX(RIGHT(HEX2BIN(BB503,8)&amp;LEFT(HEX2BIN($A$1,8),1),8)),IF(AND(BI503=2,BB496=1),DEC2HEX(_xlfn.BITXOR(BIN2DEC(RIGHT(HEX2BIN(BB503,8)&amp;LEFT(HEX2BIN($A$1,8),1),8)),HEX2DEC($B$1))),IF(AND(BI503=3,BB496=1),DEC2HEX(_xlfn.BITXOR(_xlfn.BITXOR(BIN2DEC(RIGHT(HEX2BIN(BB503,8)&amp;LEFT(HEX2BIN($A$1,8),1),8)),HEX2DEC($B$1)),HEX2DEC(BB503))),BB503)))))),HEX2DEC(IF(AND(BJ503=3,BB497=0),DEC2HEX(_xlfn.BITXOR(BIN2DEC((RIGHT(HEX2BIN(BB504,8)&amp;LEFT(HEX2BIN($A$1,8),1),8))),HEX2DEC(BB504)),2),IF(AND(BJ503=2,BB497=0),BIN2HEX(RIGHT(HEX2BIN(BB504,8)&amp;LEFT(HEX2BIN($A$1,8),1),8)),IF(AND(BJ503=2,BB497=1),DEC2HEX(_xlfn.BITXOR(BIN2DEC(RIGHT(HEX2BIN(BB504,8)&amp;LEFT(HEX2BIN($A$1,8),1),8)),HEX2DEC($B$1))),IF(AND(BJ503=3,BB497=1),DEC2HEX(_xlfn.BITXOR(_xlfn.BITXOR(BIN2DEC(RIGHT(HEX2BIN(BB504,8)&amp;LEFT(HEX2BIN($A$1,8),1),8)),HEX2DEC($B$1)),HEX2DEC(BB504))),BB504)))))))</f>
        <v>98</v>
      </c>
      <c r="BM503" s="44" t="str">
        <f>DEC2HEX(_xlfn.BITXOR(_xlfn.BITXOR(_xlfn.BITXOR(HEX2DEC(IF(AND(BG503=3,BC494=0),DEC2HEX(_xlfn.BITXOR(BIN2DEC((RIGHT(HEX2BIN(BC501,8)&amp;LEFT(HEX2BIN($A$1,8),1),8))),HEX2DEC(BC501)),2),IF(AND(BG503=2,BC494=0),BIN2HEX(RIGHT(HEX2BIN(BC501,8)&amp;LEFT(HEX2BIN($A$1,8),1),8)),IF(AND(BG503=2,BC494=1),DEC2HEX(_xlfn.BITXOR(BIN2DEC(RIGHT(HEX2BIN(BC501,8)&amp;LEFT(HEX2BIN($A$1,8),1),8)),HEX2DEC($B$1))),IF(AND(BG503=3,BC494=1),DEC2HEX(_xlfn.BITXOR(_xlfn.BITXOR(BIN2DEC(RIGHT(HEX2BIN(BC501,8)&amp;LEFT(HEX2BIN($A$1,8),1),8)),HEX2DEC($B$1)),HEX2DEC(BC501))),BC501))))),HEX2DEC(IF(AND(BH503=3,BC495=0),DEC2HEX(_xlfn.BITXOR(BIN2DEC((RIGHT(HEX2BIN(BC502,8)&amp;LEFT(HEX2BIN($A$1,8),1),8))),HEX2DEC(BC502)),2),IF(AND(BH503=2,BC495=0),BIN2HEX(RIGHT(HEX2BIN(BC502,8)&amp;LEFT(HEX2BIN($A$1,8),1),8)),IF(AND(BH503=2,BC495=1),DEC2HEX(_xlfn.BITXOR(BIN2DEC(RIGHT(HEX2BIN(BC502,8)&amp;LEFT(HEX2BIN($A$1,8),1),8)),HEX2DEC($B$1))),IF(AND(BH503=3,BC495=1),DEC2HEX(_xlfn.BITXOR(_xlfn.BITXOR(BIN2DEC(RIGHT(HEX2BIN(BC502,8)&amp;LEFT(HEX2BIN($A$1,8),1),8)),HEX2DEC($B$1)),HEX2DEC(BC502))),BC502)))))),HEX2DEC(IF(AND(BI503=3,BC496=0),DEC2HEX(_xlfn.BITXOR(BIN2DEC((RIGHT(HEX2BIN(BC503,8)&amp;LEFT(HEX2BIN($A$1,8),1),8))),HEX2DEC(BC503)),2),IF(AND(BI503=2,BC496=0),BIN2HEX(RIGHT(HEX2BIN(BC503,8)&amp;LEFT(HEX2BIN($A$1,8),1),8)),IF(AND(BI503=2,BC496=1),DEC2HEX(_xlfn.BITXOR(BIN2DEC(RIGHT(HEX2BIN(BC503,8)&amp;LEFT(HEX2BIN($A$1,8),1),8)),HEX2DEC($B$1))),IF(AND(BI503=3,BC496=1),DEC2HEX(_xlfn.BITXOR(_xlfn.BITXOR(BIN2DEC(RIGHT(HEX2BIN(BC503,8)&amp;LEFT(HEX2BIN($A$1,8),1),8)),HEX2DEC($B$1)),HEX2DEC(BC503))),BC503)))))),HEX2DEC(IF(AND(BJ503=3,BC497=0),DEC2HEX(_xlfn.BITXOR(BIN2DEC((RIGHT(HEX2BIN(BC504,8)&amp;LEFT(HEX2BIN($A$1,8),1),8))),HEX2DEC(BC504)),2),IF(AND(BJ503=2,BC497=0),BIN2HEX(RIGHT(HEX2BIN(BC504,8)&amp;LEFT(HEX2BIN($A$1,8),1),8)),IF(AND(BJ503=2,BC497=1),DEC2HEX(_xlfn.BITXOR(BIN2DEC(RIGHT(HEX2BIN(BC504,8)&amp;LEFT(HEX2BIN($A$1,8),1),8)),HEX2DEC($B$1))),IF(AND(BJ503=3,BC497=1),DEC2HEX(_xlfn.BITXOR(_xlfn.BITXOR(BIN2DEC(RIGHT(HEX2BIN(BC504,8)&amp;LEFT(HEX2BIN($A$1,8),1),8)),HEX2DEC($B$1)),HEX2DEC(BC504))),BC504)))))))</f>
        <v>85</v>
      </c>
      <c r="BN503" s="44" t="str">
        <f>DEC2HEX(_xlfn.BITXOR(_xlfn.BITXOR(_xlfn.BITXOR(HEX2DEC(IF(AND(BG503=3,BD494=0),DEC2HEX(_xlfn.BITXOR(BIN2DEC((RIGHT(HEX2BIN(BD501,8)&amp;LEFT(HEX2BIN($A$1,8),1),8))),HEX2DEC(BD501)),2),IF(AND(BG503=2,BD494=0),BIN2HEX(RIGHT(HEX2BIN(BD501,8)&amp;LEFT(HEX2BIN($A$1,8),1),8)),IF(AND(BG503=2,BD494=1),DEC2HEX(_xlfn.BITXOR(BIN2DEC(RIGHT(HEX2BIN(BD501,8)&amp;LEFT(HEX2BIN($A$1,8),1),8)),HEX2DEC($B$1))),IF(AND(BG503=3,BD494=1),DEC2HEX(_xlfn.BITXOR(_xlfn.BITXOR(BIN2DEC(RIGHT(HEX2BIN(BD501,8)&amp;LEFT(HEX2BIN($A$1,8),1),8)),HEX2DEC($B$1)),HEX2DEC(BD501))),BD501))))),HEX2DEC(IF(AND(BH503=3,BD495=0),DEC2HEX(_xlfn.BITXOR(BIN2DEC((RIGHT(HEX2BIN(BD502,8)&amp;LEFT(HEX2BIN($A$1,8),1),8))),HEX2DEC(BD502)),2),IF(AND(BH503=2,BD495=0),BIN2HEX(RIGHT(HEX2BIN(BD502,8)&amp;LEFT(HEX2BIN($A$1,8),1),8)),IF(AND(BH503=2,BD495=1),DEC2HEX(_xlfn.BITXOR(BIN2DEC(RIGHT(HEX2BIN(BD502,8)&amp;LEFT(HEX2BIN($A$1,8),1),8)),HEX2DEC($B$1))),IF(AND(BH503=3,BD495=1),DEC2HEX(_xlfn.BITXOR(_xlfn.BITXOR(BIN2DEC(RIGHT(HEX2BIN(BD502,8)&amp;LEFT(HEX2BIN($A$1,8),1),8)),HEX2DEC($B$1)),HEX2DEC(BD502))),BD502)))))),HEX2DEC(IF(AND(BI503=3,BD496=0),DEC2HEX(_xlfn.BITXOR(BIN2DEC((RIGHT(HEX2BIN(BD503,8)&amp;LEFT(HEX2BIN($A$1,8),1),8))),HEX2DEC(BD503)),2),IF(AND(BI503=2,BD496=0),BIN2HEX(RIGHT(HEX2BIN(BD503,8)&amp;LEFT(HEX2BIN($A$1,8),1),8)),IF(AND(BI503=2,BD496=1),DEC2HEX(_xlfn.BITXOR(BIN2DEC(RIGHT(HEX2BIN(BD503,8)&amp;LEFT(HEX2BIN($A$1,8),1),8)),HEX2DEC($B$1))),IF(AND(BI503=3,BD496=1),DEC2HEX(_xlfn.BITXOR(_xlfn.BITXOR(BIN2DEC(RIGHT(HEX2BIN(BD503,8)&amp;LEFT(HEX2BIN($A$1,8),1),8)),HEX2DEC($B$1)),HEX2DEC(BD503))),BD503)))))),HEX2DEC(IF(AND(BJ503=3,BD497=0),DEC2HEX(_xlfn.BITXOR(BIN2DEC((RIGHT(HEX2BIN(BD504,8)&amp;LEFT(HEX2BIN($A$1,8),1),8))),HEX2DEC(BD504)),2),IF(AND(BJ503=2,BD497=0),BIN2HEX(RIGHT(HEX2BIN(BD504,8)&amp;LEFT(HEX2BIN($A$1,8),1),8)),IF(AND(BJ503=2,BD497=1),DEC2HEX(_xlfn.BITXOR(BIN2DEC(RIGHT(HEX2BIN(BD504,8)&amp;LEFT(HEX2BIN($A$1,8),1),8)),HEX2DEC($B$1))),IF(AND(BJ503=3,BD497=1),DEC2HEX(_xlfn.BITXOR(_xlfn.BITXOR(BIN2DEC(RIGHT(HEX2BIN(BD504,8)&amp;LEFT(HEX2BIN($A$1,8),1),8)),HEX2DEC($B$1)),HEX2DEC(BD504))),BD504)))))))</f>
        <v>89</v>
      </c>
      <c r="BO503" s="44" t="str">
        <f>DEC2HEX(_xlfn.BITXOR(_xlfn.BITXOR(_xlfn.BITXOR(HEX2DEC(IF(AND(BG503=3,BE494=0),DEC2HEX(_xlfn.BITXOR(BIN2DEC((RIGHT(HEX2BIN(BE501,8)&amp;LEFT(HEX2BIN($A$1,8),1),8))),HEX2DEC(BE501)),2),IF(AND(BG503=2,BE494=0),BIN2HEX(RIGHT(HEX2BIN(BE501,8)&amp;LEFT(HEX2BIN($A$1,8),1),8)),IF(AND(BG503=2,BE494=1),DEC2HEX(_xlfn.BITXOR(BIN2DEC(RIGHT(HEX2BIN(BE501,8)&amp;LEFT(HEX2BIN($A$1,8),1),8)),HEX2DEC($B$1))),IF(AND(BG503=3,BE494=1),DEC2HEX(_xlfn.BITXOR(_xlfn.BITXOR(BIN2DEC(RIGHT(HEX2BIN(BE501,8)&amp;LEFT(HEX2BIN($A$1,8),1),8)),HEX2DEC($B$1)),HEX2DEC(BE501))),BE501))))),HEX2DEC(IF(AND(BH503=3,BE495=0),DEC2HEX(_xlfn.BITXOR(BIN2DEC((RIGHT(HEX2BIN(BE502,8)&amp;LEFT(HEX2BIN($A$1,8),1),8))),HEX2DEC(BE502)),2),IF(AND(BH503=2,BE495=0),BIN2HEX(RIGHT(HEX2BIN(BE502,8)&amp;LEFT(HEX2BIN($A$1,8),1),8)),IF(AND(BH503=2,BE495=1),DEC2HEX(_xlfn.BITXOR(BIN2DEC(RIGHT(HEX2BIN(BE502,8)&amp;LEFT(HEX2BIN($A$1,8),1),8)),HEX2DEC($B$1))),IF(AND(BH503=3,BE495=1),DEC2HEX(_xlfn.BITXOR(_xlfn.BITXOR(BIN2DEC(RIGHT(HEX2BIN(BE502,8)&amp;LEFT(HEX2BIN($A$1,8),1),8)),HEX2DEC($B$1)),HEX2DEC(BE502))),BE502)))))),HEX2DEC(IF(AND(BI503=3,BE496=0),DEC2HEX(_xlfn.BITXOR(BIN2DEC((RIGHT(HEX2BIN(BE503,8)&amp;LEFT(HEX2BIN($A$1,8),1),8))),HEX2DEC(BE503)),2),IF(AND(BI503=2,BE496=0),BIN2HEX(RIGHT(HEX2BIN(BE503,8)&amp;LEFT(HEX2BIN($A$1,8),1),8)),IF(AND(BI503=2,BE496=1),DEC2HEX(_xlfn.BITXOR(BIN2DEC(RIGHT(HEX2BIN(BE503,8)&amp;LEFT(HEX2BIN($A$1,8),1),8)),HEX2DEC($B$1))),IF(AND(BI503=3,BE496=1),DEC2HEX(_xlfn.BITXOR(_xlfn.BITXOR(BIN2DEC(RIGHT(HEX2BIN(BE503,8)&amp;LEFT(HEX2BIN($A$1,8),1),8)),HEX2DEC($B$1)),HEX2DEC(BE503))),BE503)))))),HEX2DEC(IF(AND(BJ503=3,BE497=0),DEC2HEX(_xlfn.BITXOR(BIN2DEC((RIGHT(HEX2BIN(BE504,8)&amp;LEFT(HEX2BIN($A$1,8),1),8))),HEX2DEC(BE504)),2),IF(AND(BJ503=2,BE497=0),BIN2HEX(RIGHT(HEX2BIN(BE504,8)&amp;LEFT(HEX2BIN($A$1,8),1),8)),IF(AND(BJ503=2,BE497=1),DEC2HEX(_xlfn.BITXOR(BIN2DEC(RIGHT(HEX2BIN(BE504,8)&amp;LEFT(HEX2BIN($A$1,8),1),8)),HEX2DEC($B$1))),IF(AND(BJ503=3,BE497=1),DEC2HEX(_xlfn.BITXOR(_xlfn.BITXOR(BIN2DEC(RIGHT(HEX2BIN(BE504,8)&amp;LEFT(HEX2BIN($A$1,8),1),8)),HEX2DEC($B$1)),HEX2DEC(BE504))),BE504)))))))</f>
        <v>78</v>
      </c>
      <c r="BS503" s="44" t="s">
        <v>94</v>
      </c>
      <c r="BT503" s="44">
        <v>53</v>
      </c>
      <c r="BU503" s="44">
        <v>96</v>
      </c>
      <c r="BV503" s="44" t="s">
        <v>134</v>
      </c>
    </row>
    <row r="504" spans="2:74" x14ac:dyDescent="0.25">
      <c r="B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H504" s="14" t="str">
        <f t="shared" si="286"/>
        <v>E8</v>
      </c>
      <c r="AI504" s="14" t="str">
        <f t="shared" si="287"/>
        <v>A3</v>
      </c>
      <c r="AJ504" s="14" t="str">
        <f t="shared" si="288"/>
        <v>11</v>
      </c>
      <c r="AK504" s="14" t="str">
        <f t="shared" si="289"/>
        <v>3</v>
      </c>
      <c r="AM504" s="37" t="str">
        <f t="shared" si="290"/>
        <v>FE</v>
      </c>
      <c r="AN504" s="37" t="str">
        <f t="shared" si="279"/>
        <v>2B</v>
      </c>
      <c r="AO504" s="37" t="str">
        <f t="shared" si="279"/>
        <v>63</v>
      </c>
      <c r="AP504" s="37" t="str">
        <f t="shared" si="279"/>
        <v>8B</v>
      </c>
      <c r="AR504" s="37" t="str">
        <f t="shared" si="291"/>
        <v>16</v>
      </c>
      <c r="AS504" s="37" t="str">
        <f t="shared" si="280"/>
        <v>88</v>
      </c>
      <c r="AT504" s="37" t="str">
        <f t="shared" si="281"/>
        <v>72</v>
      </c>
      <c r="AU504" s="37" t="str">
        <f t="shared" si="282"/>
        <v>88</v>
      </c>
      <c r="AW504" s="37">
        <v>47</v>
      </c>
      <c r="AX504" s="37" t="s">
        <v>203</v>
      </c>
      <c r="AY504" s="37">
        <v>40</v>
      </c>
      <c r="AZ504" s="37" t="s">
        <v>203</v>
      </c>
      <c r="BB504" s="43" t="str">
        <f>AZ504</f>
        <v>C4</v>
      </c>
      <c r="BC504" s="43">
        <f>AW504</f>
        <v>47</v>
      </c>
      <c r="BD504" s="43" t="str">
        <f t="shared" ref="BD504" si="294">AX504</f>
        <v>C4</v>
      </c>
      <c r="BE504" s="30">
        <f t="shared" ref="BE504" si="295">AY504</f>
        <v>40</v>
      </c>
      <c r="BF504" s="43"/>
      <c r="BG504" s="31">
        <v>3</v>
      </c>
      <c r="BH504" s="32">
        <v>1</v>
      </c>
      <c r="BI504" s="32">
        <v>1</v>
      </c>
      <c r="BJ504" s="33">
        <v>2</v>
      </c>
      <c r="BK504" s="43"/>
      <c r="BL504" s="44" t="str">
        <f>DEC2HEX(_xlfn.BITXOR(_xlfn.BITXOR(_xlfn.BITXOR(HEX2DEC(IF(AND(BG504=3,BB494=0),DEC2HEX(_xlfn.BITXOR(BIN2DEC((RIGHT(HEX2BIN(BB501,8)&amp;LEFT(HEX2BIN($A$1,8),1),8))),HEX2DEC(BB501)),2),IF(AND(BG504=2,BB494=0),BIN2HEX(RIGHT(HEX2BIN(BB501,8)&amp;LEFT(HEX2BIN($A$1,8),1),8)),IF(AND(BG504=2,BB494=1),DEC2HEX(_xlfn.BITXOR(BIN2DEC(RIGHT(HEX2BIN(BB501,8)&amp;LEFT(HEX2BIN($A$1,8),1),8)),HEX2DEC($B$1))),IF(AND(BG504=3,BB494=1),DEC2HEX(_xlfn.BITXOR(_xlfn.BITXOR(BIN2DEC(RIGHT(HEX2BIN(BB501,8)&amp;LEFT(HEX2BIN($A$1,8),1),8)),HEX2DEC($B$1)),HEX2DEC(BB501))),BB501))))),HEX2DEC(IF(AND(BH504=3,BB495=0),DEC2HEX(_xlfn.BITXOR(BIN2DEC((RIGHT(HEX2BIN(BB502,8)&amp;LEFT(HEX2BIN($A$1,8),1),8))),HEX2DEC(BB502)),2),IF(AND(BH504=2,BB495=0),BIN2HEX(RIGHT(HEX2BIN(BB502,8)&amp;LEFT(HEX2BIN($A$1,8),1),8)),IF(AND(BH504=2,BB495=1),DEC2HEX(_xlfn.BITXOR(BIN2DEC(RIGHT(HEX2BIN(BB502,8)&amp;LEFT(HEX2BIN($A$1,8),1),8)),HEX2DEC($B$1))),IF(AND(BH504=3,BB495=1),DEC2HEX(_xlfn.BITXOR(_xlfn.BITXOR(BIN2DEC(RIGHT(HEX2BIN(BB502,8)&amp;LEFT(HEX2BIN($A$1,8),1),8)),HEX2DEC($B$1)),HEX2DEC(BB502))),BB502)))))),HEX2DEC(IF(AND(BI504=3,BB496=0),DEC2HEX(_xlfn.BITXOR(BIN2DEC((RIGHT(HEX2BIN(BB503,8)&amp;LEFT(HEX2BIN($A$1,8),1),8))),HEX2DEC(BB503)),2),IF(AND(BI504=2,BB496=0),BIN2HEX(RIGHT(HEX2BIN(BB503,8)&amp;LEFT(HEX2BIN($A$1,8),1),8)),IF(AND(BI504=2,BB496=1),DEC2HEX(_xlfn.BITXOR(BIN2DEC(RIGHT(HEX2BIN(BB503,8)&amp;LEFT(HEX2BIN($A$1,8),1),8)),HEX2DEC($B$1))),IF(AND(BI504=3,BB496=1),DEC2HEX(_xlfn.BITXOR(_xlfn.BITXOR(BIN2DEC(RIGHT(HEX2BIN(BB503,8)&amp;LEFT(HEX2BIN($A$1,8),1),8)),HEX2DEC($B$1)),HEX2DEC(BB503))),BB503)))))),HEX2DEC(IF(AND(BJ504=3,BB497=0),DEC2HEX(_xlfn.BITXOR(BIN2DEC((RIGHT(HEX2BIN(BB504,8)&amp;LEFT(HEX2BIN($A$1,8),1),8))),HEX2DEC(BB504)),2),IF(AND(BJ504=2,BB497=0),BIN2HEX(RIGHT(HEX2BIN(BB504,8)&amp;LEFT(HEX2BIN($A$1,8),1),8)),IF(AND(BJ504=2,BB497=1),DEC2HEX(_xlfn.BITXOR(BIN2DEC(RIGHT(HEX2BIN(BB504,8)&amp;LEFT(HEX2BIN($A$1,8),1),8)),HEX2DEC($B$1))),IF(AND(BJ504=3,BB497=1),DEC2HEX(_xlfn.BITXOR(_xlfn.BITXOR(BIN2DEC(RIGHT(HEX2BIN(BB504,8)&amp;LEFT(HEX2BIN($A$1,8),1),8)),HEX2DEC($B$1)),HEX2DEC(BB504))),BB504)))))))</f>
        <v>6C</v>
      </c>
      <c r="BM504" s="44" t="str">
        <f>DEC2HEX(_xlfn.BITXOR(_xlfn.BITXOR(_xlfn.BITXOR(HEX2DEC(IF(AND(BG504=3,BC494=0),DEC2HEX(_xlfn.BITXOR(BIN2DEC((RIGHT(HEX2BIN(BC501,8)&amp;LEFT(HEX2BIN($A$1,8),1),8))),HEX2DEC(BC501)),2),IF(AND(BG504=2,BC494=0),BIN2HEX(RIGHT(HEX2BIN(BC501,8)&amp;LEFT(HEX2BIN($A$1,8),1),8)),IF(AND(BG504=2,BC494=1),DEC2HEX(_xlfn.BITXOR(BIN2DEC(RIGHT(HEX2BIN(BC501,8)&amp;LEFT(HEX2BIN($A$1,8),1),8)),HEX2DEC($B$1))),IF(AND(BG504=3,BC494=1),DEC2HEX(_xlfn.BITXOR(_xlfn.BITXOR(BIN2DEC(RIGHT(HEX2BIN(BC501,8)&amp;LEFT(HEX2BIN($A$1,8),1),8)),HEX2DEC($B$1)),HEX2DEC(BC501))),BC501))))),HEX2DEC(IF(AND(BH504=3,BC495=0),DEC2HEX(_xlfn.BITXOR(BIN2DEC((RIGHT(HEX2BIN(BC502,8)&amp;LEFT(HEX2BIN($A$1,8),1),8))),HEX2DEC(BC502)),2),IF(AND(BH504=2,BC495=0),BIN2HEX(RIGHT(HEX2BIN(BC502,8)&amp;LEFT(HEX2BIN($A$1,8),1),8)),IF(AND(BH504=2,BC495=1),DEC2HEX(_xlfn.BITXOR(BIN2DEC(RIGHT(HEX2BIN(BC502,8)&amp;LEFT(HEX2BIN($A$1,8),1),8)),HEX2DEC($B$1))),IF(AND(BH504=3,BC495=1),DEC2HEX(_xlfn.BITXOR(_xlfn.BITXOR(BIN2DEC(RIGHT(HEX2BIN(BC502,8)&amp;LEFT(HEX2BIN($A$1,8),1),8)),HEX2DEC($B$1)),HEX2DEC(BC502))),BC502)))))),HEX2DEC(IF(AND(BI504=3,BC496=0),DEC2HEX(_xlfn.BITXOR(BIN2DEC((RIGHT(HEX2BIN(BC503,8)&amp;LEFT(HEX2BIN($A$1,8),1),8))),HEX2DEC(BC503)),2),IF(AND(BI504=2,BC496=0),BIN2HEX(RIGHT(HEX2BIN(BC503,8)&amp;LEFT(HEX2BIN($A$1,8),1),8)),IF(AND(BI504=2,BC496=1),DEC2HEX(_xlfn.BITXOR(BIN2DEC(RIGHT(HEX2BIN(BC503,8)&amp;LEFT(HEX2BIN($A$1,8),1),8)),HEX2DEC($B$1))),IF(AND(BI504=3,BC496=1),DEC2HEX(_xlfn.BITXOR(_xlfn.BITXOR(BIN2DEC(RIGHT(HEX2BIN(BC503,8)&amp;LEFT(HEX2BIN($A$1,8),1),8)),HEX2DEC($B$1)),HEX2DEC(BC503))),BC503)))))),HEX2DEC(IF(AND(BJ504=3,BC497=0),DEC2HEX(_xlfn.BITXOR(BIN2DEC((RIGHT(HEX2BIN(BC504,8)&amp;LEFT(HEX2BIN($A$1,8),1),8))),HEX2DEC(BC504)),2),IF(AND(BJ504=2,BC497=0),BIN2HEX(RIGHT(HEX2BIN(BC504,8)&amp;LEFT(HEX2BIN($A$1,8),1),8)),IF(AND(BJ504=2,BC497=1),DEC2HEX(_xlfn.BITXOR(BIN2DEC(RIGHT(HEX2BIN(BC504,8)&amp;LEFT(HEX2BIN($A$1,8),1),8)),HEX2DEC($B$1))),IF(AND(BJ504=3,BC497=1),DEC2HEX(_xlfn.BITXOR(_xlfn.BITXOR(BIN2DEC(RIGHT(HEX2BIN(BC504,8)&amp;LEFT(HEX2BIN($A$1,8),1),8)),HEX2DEC($B$1)),HEX2DEC(BC504))),BC504)))))))</f>
        <v>20</v>
      </c>
      <c r="BN504" s="44" t="str">
        <f>DEC2HEX(_xlfn.BITXOR(_xlfn.BITXOR(_xlfn.BITXOR(HEX2DEC(IF(AND(BG504=3,BD494=0),DEC2HEX(_xlfn.BITXOR(BIN2DEC((RIGHT(HEX2BIN(BD501,8)&amp;LEFT(HEX2BIN($A$1,8),1),8))),HEX2DEC(BD501)),2),IF(AND(BG504=2,BD494=0),BIN2HEX(RIGHT(HEX2BIN(BD501,8)&amp;LEFT(HEX2BIN($A$1,8),1),8)),IF(AND(BG504=2,BD494=1),DEC2HEX(_xlfn.BITXOR(BIN2DEC(RIGHT(HEX2BIN(BD501,8)&amp;LEFT(HEX2BIN($A$1,8),1),8)),HEX2DEC($B$1))),IF(AND(BG504=3,BD494=1),DEC2HEX(_xlfn.BITXOR(_xlfn.BITXOR(BIN2DEC(RIGHT(HEX2BIN(BD501,8)&amp;LEFT(HEX2BIN($A$1,8),1),8)),HEX2DEC($B$1)),HEX2DEC(BD501))),BD501))))),HEX2DEC(IF(AND(BH504=3,BD495=0),DEC2HEX(_xlfn.BITXOR(BIN2DEC((RIGHT(HEX2BIN(BD502,8)&amp;LEFT(HEX2BIN($A$1,8),1),8))),HEX2DEC(BD502)),2),IF(AND(BH504=2,BD495=0),BIN2HEX(RIGHT(HEX2BIN(BD502,8)&amp;LEFT(HEX2BIN($A$1,8),1),8)),IF(AND(BH504=2,BD495=1),DEC2HEX(_xlfn.BITXOR(BIN2DEC(RIGHT(HEX2BIN(BD502,8)&amp;LEFT(HEX2BIN($A$1,8),1),8)),HEX2DEC($B$1))),IF(AND(BH504=3,BD495=1),DEC2HEX(_xlfn.BITXOR(_xlfn.BITXOR(BIN2DEC(RIGHT(HEX2BIN(BD502,8)&amp;LEFT(HEX2BIN($A$1,8),1),8)),HEX2DEC($B$1)),HEX2DEC(BD502))),BD502)))))),HEX2DEC(IF(AND(BI504=3,BD496=0),DEC2HEX(_xlfn.BITXOR(BIN2DEC((RIGHT(HEX2BIN(BD503,8)&amp;LEFT(HEX2BIN($A$1,8),1),8))),HEX2DEC(BD503)),2),IF(AND(BI504=2,BD496=0),BIN2HEX(RIGHT(HEX2BIN(BD503,8)&amp;LEFT(HEX2BIN($A$1,8),1),8)),IF(AND(BI504=2,BD496=1),DEC2HEX(_xlfn.BITXOR(BIN2DEC(RIGHT(HEX2BIN(BD503,8)&amp;LEFT(HEX2BIN($A$1,8),1),8)),HEX2DEC($B$1))),IF(AND(BI504=3,BD496=1),DEC2HEX(_xlfn.BITXOR(_xlfn.BITXOR(BIN2DEC(RIGHT(HEX2BIN(BD503,8)&amp;LEFT(HEX2BIN($A$1,8),1),8)),HEX2DEC($B$1)),HEX2DEC(BD503))),BD503)))))),HEX2DEC(IF(AND(BJ504=3,BD497=0),DEC2HEX(_xlfn.BITXOR(BIN2DEC((RIGHT(HEX2BIN(BD504,8)&amp;LEFT(HEX2BIN($A$1,8),1),8))),HEX2DEC(BD504)),2),IF(AND(BJ504=2,BD497=0),BIN2HEX(RIGHT(HEX2BIN(BD504,8)&amp;LEFT(HEX2BIN($A$1,8),1),8)),IF(AND(BJ504=2,BD497=1),DEC2HEX(_xlfn.BITXOR(BIN2DEC(RIGHT(HEX2BIN(BD504,8)&amp;LEFT(HEX2BIN($A$1,8),1),8)),HEX2DEC($B$1))),IF(AND(BJ504=3,BD497=1),DEC2HEX(_xlfn.BITXOR(_xlfn.BITXOR(BIN2DEC(RIGHT(HEX2BIN(BD504,8)&amp;LEFT(HEX2BIN($A$1,8),1),8)),HEX2DEC($B$1)),HEX2DEC(BD504))),BD504)))))))</f>
        <v>61</v>
      </c>
      <c r="BO504" s="44" t="str">
        <f>DEC2HEX(_xlfn.BITXOR(_xlfn.BITXOR(_xlfn.BITXOR(HEX2DEC(IF(AND(BG504=3,BE494=0),DEC2HEX(_xlfn.BITXOR(BIN2DEC((RIGHT(HEX2BIN(BE501,8)&amp;LEFT(HEX2BIN($A$1,8),1),8))),HEX2DEC(BE501)),2),IF(AND(BG504=2,BE494=0),BIN2HEX(RIGHT(HEX2BIN(BE501,8)&amp;LEFT(HEX2BIN($A$1,8),1),8)),IF(AND(BG504=2,BE494=1),DEC2HEX(_xlfn.BITXOR(BIN2DEC(RIGHT(HEX2BIN(BE501,8)&amp;LEFT(HEX2BIN($A$1,8),1),8)),HEX2DEC($B$1))),IF(AND(BG504=3,BE494=1),DEC2HEX(_xlfn.BITXOR(_xlfn.BITXOR(BIN2DEC(RIGHT(HEX2BIN(BE501,8)&amp;LEFT(HEX2BIN($A$1,8),1),8)),HEX2DEC($B$1)),HEX2DEC(BE501))),BE501))))),HEX2DEC(IF(AND(BH504=3,BE495=0),DEC2HEX(_xlfn.BITXOR(BIN2DEC((RIGHT(HEX2BIN(BE502,8)&amp;LEFT(HEX2BIN($A$1,8),1),8))),HEX2DEC(BE502)),2),IF(AND(BH504=2,BE495=0),BIN2HEX(RIGHT(HEX2BIN(BE502,8)&amp;LEFT(HEX2BIN($A$1,8),1),8)),IF(AND(BH504=2,BE495=1),DEC2HEX(_xlfn.BITXOR(BIN2DEC(RIGHT(HEX2BIN(BE502,8)&amp;LEFT(HEX2BIN($A$1,8),1),8)),HEX2DEC($B$1))),IF(AND(BH504=3,BE495=1),DEC2HEX(_xlfn.BITXOR(_xlfn.BITXOR(BIN2DEC(RIGHT(HEX2BIN(BE502,8)&amp;LEFT(HEX2BIN($A$1,8),1),8)),HEX2DEC($B$1)),HEX2DEC(BE502))),BE502)))))),HEX2DEC(IF(AND(BI504=3,BE496=0),DEC2HEX(_xlfn.BITXOR(BIN2DEC((RIGHT(HEX2BIN(BE503,8)&amp;LEFT(HEX2BIN($A$1,8),1),8))),HEX2DEC(BE503)),2),IF(AND(BI504=2,BE496=0),BIN2HEX(RIGHT(HEX2BIN(BE503,8)&amp;LEFT(HEX2BIN($A$1,8),1),8)),IF(AND(BI504=2,BE496=1),DEC2HEX(_xlfn.BITXOR(BIN2DEC(RIGHT(HEX2BIN(BE503,8)&amp;LEFT(HEX2BIN($A$1,8),1),8)),HEX2DEC($B$1))),IF(AND(BI504=3,BE496=1),DEC2HEX(_xlfn.BITXOR(_xlfn.BITXOR(BIN2DEC(RIGHT(HEX2BIN(BE503,8)&amp;LEFT(HEX2BIN($A$1,8),1),8)),HEX2DEC($B$1)),HEX2DEC(BE503))),BE503)))))),HEX2DEC(IF(AND(BJ504=3,BE497=0),DEC2HEX(_xlfn.BITXOR(BIN2DEC((RIGHT(HEX2BIN(BE504,8)&amp;LEFT(HEX2BIN($A$1,8),1),8))),HEX2DEC(BE504)),2),IF(AND(BJ504=2,BE497=0),BIN2HEX(RIGHT(HEX2BIN(BE504,8)&amp;LEFT(HEX2BIN($A$1,8),1),8)),IF(AND(BJ504=2,BE497=1),DEC2HEX(_xlfn.BITXOR(BIN2DEC(RIGHT(HEX2BIN(BE504,8)&amp;LEFT(HEX2BIN($A$1,8),1),8)),HEX2DEC($B$1))),IF(AND(BJ504=3,BE497=1),DEC2HEX(_xlfn.BITXOR(_xlfn.BITXOR(BIN2DEC(RIGHT(HEX2BIN(BE504,8)&amp;LEFT(HEX2BIN($A$1,8),1),8)),HEX2DEC($B$1)),HEX2DEC(BE504))),BE504)))))))</f>
        <v>FA</v>
      </c>
      <c r="BS504" s="44">
        <v>17</v>
      </c>
      <c r="BT504" s="44">
        <v>14</v>
      </c>
      <c r="BU504" s="44" t="s">
        <v>89</v>
      </c>
      <c r="BV504" s="44" t="s">
        <v>123</v>
      </c>
    </row>
    <row r="505" spans="2:74" x14ac:dyDescent="0.25">
      <c r="B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</row>
    <row r="506" spans="2:74" x14ac:dyDescent="0.25">
      <c r="B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</row>
    <row r="507" spans="2:74" x14ac:dyDescent="0.25">
      <c r="B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</row>
    <row r="508" spans="2:74" x14ac:dyDescent="0.25">
      <c r="B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</row>
    <row r="509" spans="2:74" x14ac:dyDescent="0.25">
      <c r="B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</row>
    <row r="510" spans="2:74" x14ac:dyDescent="0.25">
      <c r="B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</row>
    <row r="511" spans="2:74" x14ac:dyDescent="0.25">
      <c r="B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</row>
    <row r="512" spans="2:74" x14ac:dyDescent="0.25">
      <c r="B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</row>
    <row r="513" spans="2:31" x14ac:dyDescent="0.25">
      <c r="B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</row>
    <row r="514" spans="2:31" x14ac:dyDescent="0.25">
      <c r="B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</row>
    <row r="515" spans="2:31" x14ac:dyDescent="0.25">
      <c r="B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</row>
    <row r="516" spans="2:31" x14ac:dyDescent="0.25">
      <c r="B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</row>
    <row r="517" spans="2:31" x14ac:dyDescent="0.25">
      <c r="B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</row>
    <row r="518" spans="2:31" x14ac:dyDescent="0.25">
      <c r="B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</row>
    <row r="519" spans="2:31" x14ac:dyDescent="0.25">
      <c r="B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</row>
    <row r="520" spans="2:31" x14ac:dyDescent="0.25">
      <c r="B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</row>
    <row r="521" spans="2:31" x14ac:dyDescent="0.25">
      <c r="B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</row>
    <row r="522" spans="2:31" x14ac:dyDescent="0.25">
      <c r="B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</row>
    <row r="523" spans="2:31" x14ac:dyDescent="0.25">
      <c r="B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</row>
    <row r="524" spans="2:31" x14ac:dyDescent="0.25">
      <c r="B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</row>
    <row r="525" spans="2:31" x14ac:dyDescent="0.25">
      <c r="B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</row>
    <row r="526" spans="2:31" x14ac:dyDescent="0.25">
      <c r="B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</row>
    <row r="527" spans="2:31" x14ac:dyDescent="0.25">
      <c r="B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</row>
    <row r="528" spans="2:31" x14ac:dyDescent="0.25">
      <c r="B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</row>
    <row r="529" spans="2:67" x14ac:dyDescent="0.25">
      <c r="B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</row>
    <row r="530" spans="2:67" x14ac:dyDescent="0.25">
      <c r="B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</row>
    <row r="531" spans="2:67" x14ac:dyDescent="0.25">
      <c r="B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</row>
    <row r="532" spans="2:67" x14ac:dyDescent="0.25">
      <c r="B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</row>
    <row r="533" spans="2:67" x14ac:dyDescent="0.25">
      <c r="B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</row>
    <row r="534" spans="2:67" x14ac:dyDescent="0.25">
      <c r="B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</row>
    <row r="535" spans="2:67" x14ac:dyDescent="0.25">
      <c r="B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</row>
    <row r="536" spans="2:67" x14ac:dyDescent="0.25">
      <c r="B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BB536" s="75">
        <f>IF(BIN2DEC(LEFT(HEX2BIN(BB543,8),1))=0,0,1)</f>
        <v>1</v>
      </c>
      <c r="BC536" s="75">
        <f>IF(BIN2DEC(LEFT(HEX2BIN(BC543,8),1))=0,0,1)</f>
        <v>1</v>
      </c>
      <c r="BD536" s="75">
        <f>IF(BIN2DEC(LEFT(HEX2BIN(BD543,8),1))=0,0,1)</f>
        <v>0</v>
      </c>
      <c r="BE536" s="75">
        <f>IF(BIN2DEC(LEFT(HEX2BIN(BE543,8),1))=0,0,1)</f>
        <v>1</v>
      </c>
    </row>
    <row r="537" spans="2:67" x14ac:dyDescent="0.25">
      <c r="B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BB537" s="75">
        <f t="shared" ref="BB537:BE537" si="296">IF(BIN2DEC(LEFT(HEX2BIN(BB544,8),1))=0,0,1)</f>
        <v>1</v>
      </c>
      <c r="BC537" s="75">
        <f t="shared" si="296"/>
        <v>1</v>
      </c>
      <c r="BD537" s="75">
        <f t="shared" si="296"/>
        <v>0</v>
      </c>
      <c r="BE537" s="75">
        <f t="shared" si="296"/>
        <v>1</v>
      </c>
    </row>
    <row r="538" spans="2:67" x14ac:dyDescent="0.25">
      <c r="B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BB538" s="75">
        <f t="shared" ref="BB538:BE538" si="297">IF(BIN2DEC(LEFT(HEX2BIN(BB545,8),1))=0,0,1)</f>
        <v>1</v>
      </c>
      <c r="BC538" s="75">
        <f t="shared" si="297"/>
        <v>1</v>
      </c>
      <c r="BD538" s="75">
        <f t="shared" si="297"/>
        <v>0</v>
      </c>
      <c r="BE538" s="75">
        <f t="shared" si="297"/>
        <v>1</v>
      </c>
    </row>
    <row r="539" spans="2:67" x14ac:dyDescent="0.25">
      <c r="B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BB539" s="75">
        <f t="shared" ref="BB539:BE539" si="298">IF(BIN2DEC(LEFT(HEX2BIN(BB546,8),1))=0,0,1)</f>
        <v>0</v>
      </c>
      <c r="BC539" s="75">
        <f t="shared" si="298"/>
        <v>1</v>
      </c>
      <c r="BD539" s="75">
        <f t="shared" si="298"/>
        <v>0</v>
      </c>
      <c r="BE539" s="75">
        <f t="shared" si="298"/>
        <v>1</v>
      </c>
    </row>
    <row r="540" spans="2:67" ht="15.75" x14ac:dyDescent="0.25">
      <c r="B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H540" s="77" t="s">
        <v>285</v>
      </c>
      <c r="AW540" s="116" t="s">
        <v>242</v>
      </c>
      <c r="AX540" s="116"/>
      <c r="AY540" s="116"/>
      <c r="AZ540" s="116"/>
    </row>
    <row r="541" spans="2:67" x14ac:dyDescent="0.25">
      <c r="B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W541" s="37"/>
      <c r="AX541" s="37"/>
      <c r="AY541" s="37"/>
      <c r="AZ541" s="37"/>
    </row>
    <row r="542" spans="2:67" x14ac:dyDescent="0.25">
      <c r="B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H542" s="116" t="s">
        <v>257</v>
      </c>
      <c r="AI542" s="116"/>
      <c r="AJ542" s="116"/>
      <c r="AK542" s="116"/>
      <c r="AR542" s="116" t="s">
        <v>221</v>
      </c>
      <c r="AS542" s="116"/>
      <c r="AT542" s="116"/>
      <c r="AU542" s="116"/>
      <c r="AW542" s="116" t="s">
        <v>222</v>
      </c>
      <c r="AX542" s="116"/>
      <c r="AY542" s="116"/>
      <c r="AZ542" s="116"/>
      <c r="BB542" s="118" t="s">
        <v>227</v>
      </c>
      <c r="BC542" s="118"/>
      <c r="BD542" s="118"/>
      <c r="BE542" s="118"/>
      <c r="BG542" s="46"/>
      <c r="BH542" s="46"/>
      <c r="BI542" s="46"/>
      <c r="BJ542" s="46"/>
      <c r="BK542" s="46"/>
      <c r="BL542" s="116" t="s">
        <v>230</v>
      </c>
      <c r="BM542" s="116"/>
      <c r="BN542" s="116"/>
      <c r="BO542" s="116"/>
    </row>
    <row r="543" spans="2:67" x14ac:dyDescent="0.25">
      <c r="B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H543" s="14" t="str">
        <f>V33</f>
        <v>2E</v>
      </c>
      <c r="AI543" s="14" t="str">
        <f>Y33</f>
        <v>18</v>
      </c>
      <c r="AJ543" s="14" t="str">
        <f>AB33</f>
        <v>43</v>
      </c>
      <c r="AK543" s="14" t="str">
        <f>AE33</f>
        <v>71</v>
      </c>
      <c r="AM543" s="1" t="str">
        <f>BL501</f>
        <v>74</v>
      </c>
      <c r="AN543" s="37" t="str">
        <f t="shared" ref="AN543:AP546" si="299">BM501</f>
        <v>F4</v>
      </c>
      <c r="AO543" s="37" t="str">
        <f t="shared" si="299"/>
        <v>D8</v>
      </c>
      <c r="AP543" s="37" t="str">
        <f t="shared" si="299"/>
        <v>99</v>
      </c>
      <c r="AR543" s="37" t="str">
        <f>DEC2HEX(_xlfn.BITXOR(HEX2DEC(AH543),HEX2DEC(AM543)))</f>
        <v>5A</v>
      </c>
      <c r="AS543" s="37" t="str">
        <f t="shared" ref="AS543:AS546" si="300">DEC2HEX(_xlfn.BITXOR(HEX2DEC(AI543),HEX2DEC(AN543)))</f>
        <v>EC</v>
      </c>
      <c r="AT543" s="37" t="str">
        <f t="shared" ref="AT543:AT546" si="301">DEC2HEX(_xlfn.BITXOR(HEX2DEC(AJ543),HEX2DEC(AO543)))</f>
        <v>9B</v>
      </c>
      <c r="AU543" s="37" t="str">
        <f t="shared" ref="AU543:AU546" si="302">DEC2HEX(_xlfn.BITXOR(HEX2DEC(AK543),HEX2DEC(AP543)))</f>
        <v>E8</v>
      </c>
      <c r="AW543" s="37" t="s">
        <v>134</v>
      </c>
      <c r="AX543" s="37" t="s">
        <v>130</v>
      </c>
      <c r="AY543" s="37">
        <v>14</v>
      </c>
      <c r="AZ543" s="37" t="s">
        <v>95</v>
      </c>
      <c r="BB543" s="43" t="str">
        <f>AW543</f>
        <v>BE</v>
      </c>
      <c r="BC543" s="43" t="str">
        <f t="shared" ref="BC543" si="303">AX543</f>
        <v>CE</v>
      </c>
      <c r="BD543" s="43">
        <f t="shared" ref="BD543" si="304">AY543</f>
        <v>14</v>
      </c>
      <c r="BE543" s="28" t="str">
        <f t="shared" ref="BE543" si="305">AZ543</f>
        <v>9B</v>
      </c>
      <c r="BG543" s="34">
        <v>2</v>
      </c>
      <c r="BH543" s="34">
        <v>3</v>
      </c>
      <c r="BI543" s="34">
        <v>1</v>
      </c>
      <c r="BJ543" s="34">
        <v>1</v>
      </c>
      <c r="BK543" s="46"/>
      <c r="BL543" s="47" t="str">
        <f>DEC2HEX(_xlfn.BITXOR(_xlfn.BITXOR(_xlfn.BITXOR(HEX2DEC(IF(AND(BG543=3,BB536=0),DEC2HEX(_xlfn.BITXOR(BIN2DEC((RIGHT(HEX2BIN(BB543,8)&amp;LEFT(HEX2BIN($A$1,8),1),8))),HEX2DEC(BB543)),2),IF(AND(BG543=2,BB536=0),BIN2HEX(RIGHT(HEX2BIN(BB543,8)&amp;LEFT(HEX2BIN($A$1,8),1),8)),IF(AND(BG543=2,BB536=1),DEC2HEX(_xlfn.BITXOR(BIN2DEC(RIGHT(HEX2BIN(BB543,8)&amp;LEFT(HEX2BIN($A$1,8),1),8)),HEX2DEC($B$1))),IF(AND(BG543=3,BB536=1),DEC2HEX(_xlfn.BITXOR(_xlfn.BITXOR(BIN2DEC(RIGHT(HEX2BIN(BB543,8)&amp;LEFT(HEX2BIN($A$1,8),1),8)),HEX2DEC($B$1)),HEX2DEC(BB543))),BB543))))),HEX2DEC(IF(AND(BH543=3,BB537=0),DEC2HEX(_xlfn.BITXOR(BIN2DEC((RIGHT(HEX2BIN(BB544,8)&amp;LEFT(HEX2BIN($A$1,8),1),8))),HEX2DEC(BB544)),2),IF(AND(BH543=2,BB537=0),BIN2HEX(RIGHT(HEX2BIN(BB544,8)&amp;LEFT(HEX2BIN($A$1,8),1),8)),IF(AND(BH543=2,BB537=1),DEC2HEX(_xlfn.BITXOR(BIN2DEC(RIGHT(HEX2BIN(BB544,8)&amp;LEFT(HEX2BIN($A$1,8),1),8)),HEX2DEC($B$1))),IF(AND(BH543=3,BB537=1),DEC2HEX(_xlfn.BITXOR(_xlfn.BITXOR(BIN2DEC(RIGHT(HEX2BIN(BB544,8)&amp;LEFT(HEX2BIN($A$1,8),1),8)),HEX2DEC($B$1)),HEX2DEC(BB544))),BB544)))))),HEX2DEC(IF(AND(BI543=3,BB538=0),DEC2HEX(_xlfn.BITXOR(BIN2DEC((RIGHT(HEX2BIN(BB545,8)&amp;LEFT(HEX2BIN($A$1,8),1),8))),HEX2DEC(BB545)),2),IF(AND(BI543=2,BB538=0),BIN2HEX(RIGHT(HEX2BIN(BB545,8)&amp;LEFT(HEX2BIN($A$1,8),1),8)),IF(AND(BI543=2,BB538=1),DEC2HEX(_xlfn.BITXOR(BIN2DEC(RIGHT(HEX2BIN(BB545,8)&amp;LEFT(HEX2BIN($A$1,8),1),8)),HEX2DEC($B$1))),IF(AND(BI543=3,BB538=1),DEC2HEX(_xlfn.BITXOR(_xlfn.BITXOR(BIN2DEC(RIGHT(HEX2BIN(BB545,8)&amp;LEFT(HEX2BIN($A$1,8),1),8)),HEX2DEC($B$1)),HEX2DEC(BB545))),BB545)))))),HEX2DEC(IF(AND(BJ543=3,BB539=0),DEC2HEX(_xlfn.BITXOR(BIN2DEC((RIGHT(HEX2BIN(BB546,8)&amp;LEFT(HEX2BIN($A$1,8),1),8))),HEX2DEC(BB546)),2),IF(AND(BJ543=2,BB539=0),BIN2HEX(RIGHT(HEX2BIN(BB546,8)&amp;LEFT(HEX2BIN($A$1,8),1),8)),IF(AND(BJ543=2,BB539=1),DEC2HEX(_xlfn.BITXOR(BIN2DEC(RIGHT(HEX2BIN(BB546,8)&amp;LEFT(HEX2BIN($A$1,8),1),8)),HEX2DEC($B$1))),IF(AND(BJ543=3,BB539=1),DEC2HEX(_xlfn.BITXOR(_xlfn.BITXOR(BIN2DEC(RIGHT(HEX2BIN(BB546,8)&amp;LEFT(HEX2BIN($A$1,8),1),8)),HEX2DEC($B$1)),HEX2DEC(BB546))),BB546)))))))</f>
        <v>74</v>
      </c>
      <c r="BM543" s="47" t="str">
        <f>DEC2HEX(_xlfn.BITXOR(_xlfn.BITXOR(_xlfn.BITXOR(HEX2DEC(IF(AND(BG543=3,BC536=0),DEC2HEX(_xlfn.BITXOR(BIN2DEC((RIGHT(HEX2BIN(BC543,8)&amp;LEFT(HEX2BIN($A$1,8),1),8))),HEX2DEC(BC543)),2),IF(AND(BG543=2,BC536=0),BIN2HEX(RIGHT(HEX2BIN(BC543,8)&amp;LEFT(HEX2BIN($A$1,8),1),8)),IF(AND(BG543=2,BC536=1),DEC2HEX(_xlfn.BITXOR(BIN2DEC(RIGHT(HEX2BIN(BC543,8)&amp;LEFT(HEX2BIN($A$1,8),1),8)),HEX2DEC($B$1))),IF(AND(BG543=3,BC536=1),DEC2HEX(_xlfn.BITXOR(_xlfn.BITXOR(BIN2DEC(RIGHT(HEX2BIN(BC543,8)&amp;LEFT(HEX2BIN($A$1,8),1),8)),HEX2DEC($B$1)),HEX2DEC(BC543))),BC543))))),HEX2DEC(IF(AND(BH543=3,BC537=0),DEC2HEX(_xlfn.BITXOR(BIN2DEC((RIGHT(HEX2BIN(BC544,8)&amp;LEFT(HEX2BIN($A$1,8),1),8))),HEX2DEC(BC544)),2),IF(AND(BH543=2,BC537=0),BIN2HEX(RIGHT(HEX2BIN(BC544,8)&amp;LEFT(HEX2BIN($A$1,8),1),8)),IF(AND(BH543=2,BC537=1),DEC2HEX(_xlfn.BITXOR(BIN2DEC(RIGHT(HEX2BIN(BC544,8)&amp;LEFT(HEX2BIN($A$1,8),1),8)),HEX2DEC($B$1))),IF(AND(BH543=3,BC537=1),DEC2HEX(_xlfn.BITXOR(_xlfn.BITXOR(BIN2DEC(RIGHT(HEX2BIN(BC544,8)&amp;LEFT(HEX2BIN($A$1,8),1),8)),HEX2DEC($B$1)),HEX2DEC(BC544))),BC544)))))),HEX2DEC(IF(AND(BI543=3,BC538=0),DEC2HEX(_xlfn.BITXOR(BIN2DEC((RIGHT(HEX2BIN(BC545,8)&amp;LEFT(HEX2BIN($A$1,8),1),8))),HEX2DEC(BC545)),2),IF(AND(BI543=2,BC538=0),BIN2HEX(RIGHT(HEX2BIN(BC545,8)&amp;LEFT(HEX2BIN($A$1,8),1),8)),IF(AND(BI543=2,BC538=1),DEC2HEX(_xlfn.BITXOR(BIN2DEC(RIGHT(HEX2BIN(BC545,8)&amp;LEFT(HEX2BIN($A$1,8),1),8)),HEX2DEC($B$1))),IF(AND(BI543=3,BC538=1),DEC2HEX(_xlfn.BITXOR(_xlfn.BITXOR(BIN2DEC(RIGHT(HEX2BIN(BC545,8)&amp;LEFT(HEX2BIN($A$1,8),1),8)),HEX2DEC($B$1)),HEX2DEC(BC545))),BC545)))))),HEX2DEC(IF(AND(BJ543=3,BC539=0),DEC2HEX(_xlfn.BITXOR(BIN2DEC((RIGHT(HEX2BIN(BC546,8)&amp;LEFT(HEX2BIN($A$1,8),1),8))),HEX2DEC(BC546)),2),IF(AND(BJ543=2,BC539=0),BIN2HEX(RIGHT(HEX2BIN(BC546,8)&amp;LEFT(HEX2BIN($A$1,8),1),8)),IF(AND(BJ543=2,BC539=1),DEC2HEX(_xlfn.BITXOR(BIN2DEC(RIGHT(HEX2BIN(BC546,8)&amp;LEFT(HEX2BIN($A$1,8),1),8)),HEX2DEC($B$1))),IF(AND(BJ543=3,BC539=1),DEC2HEX(_xlfn.BITXOR(_xlfn.BITXOR(BIN2DEC(RIGHT(HEX2BIN(BC546,8)&amp;LEFT(HEX2BIN($A$1,8),1),8)),HEX2DEC($B$1)),HEX2DEC(BC546))),BC546)))))))</f>
        <v>A</v>
      </c>
      <c r="BN543" s="41" t="str">
        <f>DEC2HEX(_xlfn.BITXOR(_xlfn.BITXOR(_xlfn.BITXOR(HEX2DEC(IF(AND(BG543=3,BD536=0),DEC2HEX(_xlfn.BITXOR(BIN2DEC((RIGHT(HEX2BIN(BD543,8)&amp;LEFT(HEX2BIN($A$1,8),1),8))),HEX2DEC(BD543)),2),IF(AND(BG543=2,BD536=0),BIN2HEX(RIGHT(HEX2BIN(BD543,8)&amp;LEFT(HEX2BIN($A$1,8),1),8)),IF(AND(BG543=2,BD536=1),DEC2HEX(_xlfn.BITXOR(BIN2DEC(RIGHT(HEX2BIN(BD543,8)&amp;LEFT(HEX2BIN($A$1,8),1),8)),HEX2DEC($B$1))),IF(AND(BG543=3,BD536=1),DEC2HEX(_xlfn.BITXOR(_xlfn.BITXOR(BIN2DEC(RIGHT(HEX2BIN(BD543,8)&amp;LEFT(HEX2BIN($A$1,8),1),8)),HEX2DEC($B$1)),HEX2DEC(BD543))),BD543))))),HEX2DEC(IF(AND(BH543=3,BD537=0),DEC2HEX(_xlfn.BITXOR(BIN2DEC((RIGHT(HEX2BIN(BD544,8)&amp;LEFT(HEX2BIN($A$1,8),1),8))),HEX2DEC(BD544)),2),IF(AND(BH543=2,BD537=0),BIN2HEX(RIGHT(HEX2BIN(BD544,8)&amp;LEFT(HEX2BIN($A$1,8),1),8)),IF(AND(BH543=2,BD537=1),DEC2HEX(_xlfn.BITXOR(BIN2DEC(RIGHT(HEX2BIN(BD544,8)&amp;LEFT(HEX2BIN($A$1,8),1),8)),HEX2DEC($B$1))),IF(AND(BH543=3,BD537=1),DEC2HEX(_xlfn.BITXOR(_xlfn.BITXOR(BIN2DEC(RIGHT(HEX2BIN(BD544,8)&amp;LEFT(HEX2BIN($A$1,8),1),8)),HEX2DEC($B$1)),HEX2DEC(BD544))),BD544)))))),HEX2DEC(IF(AND(BI543=3,BD538=0),DEC2HEX(_xlfn.BITXOR(BIN2DEC((RIGHT(HEX2BIN(BD545,8)&amp;LEFT(HEX2BIN($A$1,8),1),8))),HEX2DEC(BD545)),2),IF(AND(BI543=2,BD538=0),BIN2HEX(RIGHT(HEX2BIN(BD545,8)&amp;LEFT(HEX2BIN($A$1,8),1),8)),IF(AND(BI543=2,BD538=1),DEC2HEX(_xlfn.BITXOR(BIN2DEC(RIGHT(HEX2BIN(BD545,8)&amp;LEFT(HEX2BIN($A$1,8),1),8)),HEX2DEC($B$1))),IF(AND(BI543=3,BD538=1),DEC2HEX(_xlfn.BITXOR(_xlfn.BITXOR(BIN2DEC(RIGHT(HEX2BIN(BD545,8)&amp;LEFT(HEX2BIN($A$1,8),1),8)),HEX2DEC($B$1)),HEX2DEC(BD545))),BD545)))))),HEX2DEC(IF(AND(BJ543=3,BD539=0),DEC2HEX(_xlfn.BITXOR(BIN2DEC((RIGHT(HEX2BIN(BD546,8)&amp;LEFT(HEX2BIN($A$1,8),1),8))),HEX2DEC(BD546)),2),IF(AND(BJ543=2,BD539=0),BIN2HEX(RIGHT(HEX2BIN(BD546,8)&amp;LEFT(HEX2BIN($A$1,8),1),8)),IF(AND(BJ543=2,BD539=1),DEC2HEX(_xlfn.BITXOR(BIN2DEC(RIGHT(HEX2BIN(BD546,8)&amp;LEFT(HEX2BIN($A$1,8),1),8)),HEX2DEC($B$1))),IF(AND(BJ543=3,BD539=1),DEC2HEX(_xlfn.BITXOR(_xlfn.BITXOR(BIN2DEC(RIGHT(HEX2BIN(BD546,8)&amp;LEFT(HEX2BIN($A$1,8),1),8)),HEX2DEC($B$1)),HEX2DEC(BD546))),BD546)))))))</f>
        <v>18</v>
      </c>
      <c r="BO543" s="47" t="str">
        <f>DEC2HEX(_xlfn.BITXOR(_xlfn.BITXOR(_xlfn.BITXOR(HEX2DEC(IF(AND(BG543=3,BE536=0),DEC2HEX(_xlfn.BITXOR(BIN2DEC((RIGHT(HEX2BIN(BE543,8)&amp;LEFT(HEX2BIN($A$1,8),1),8))),HEX2DEC(BE543)),2),IF(AND(BG543=2,BE536=0),BIN2HEX(RIGHT(HEX2BIN(BE543,8)&amp;LEFT(HEX2BIN($A$1,8),1),8)),IF(AND(BG543=2,BE536=1),DEC2HEX(_xlfn.BITXOR(BIN2DEC(RIGHT(HEX2BIN(BE543,8)&amp;LEFT(HEX2BIN($A$1,8),1),8)),HEX2DEC($B$1))),IF(AND(BG543=3,BE536=1),DEC2HEX(_xlfn.BITXOR(_xlfn.BITXOR(BIN2DEC(RIGHT(HEX2BIN(BE543,8)&amp;LEFT(HEX2BIN($A$1,8),1),8)),HEX2DEC($B$1)),HEX2DEC(BE543))),BE543))))),HEX2DEC(IF(AND(BH543=3,BE537=0),DEC2HEX(_xlfn.BITXOR(BIN2DEC((RIGHT(HEX2BIN(BE544,8)&amp;LEFT(HEX2BIN($A$1,8),1),8))),HEX2DEC(BE544)),2),IF(AND(BH543=2,BE537=0),BIN2HEX(RIGHT(HEX2BIN(BE544,8)&amp;LEFT(HEX2BIN($A$1,8),1),8)),IF(AND(BH543=2,BE537=1),DEC2HEX(_xlfn.BITXOR(BIN2DEC(RIGHT(HEX2BIN(BE544,8)&amp;LEFT(HEX2BIN($A$1,8),1),8)),HEX2DEC($B$1))),IF(AND(BH543=3,BE537=1),DEC2HEX(_xlfn.BITXOR(_xlfn.BITXOR(BIN2DEC(RIGHT(HEX2BIN(BE544,8)&amp;LEFT(HEX2BIN($A$1,8),1),8)),HEX2DEC($B$1)),HEX2DEC(BE544))),BE544)))))),HEX2DEC(IF(AND(BI543=3,BE538=0),DEC2HEX(_xlfn.BITXOR(BIN2DEC((RIGHT(HEX2BIN(BE545,8)&amp;LEFT(HEX2BIN($A$1,8),1),8))),HEX2DEC(BE545)),2),IF(AND(BI543=2,BE538=0),BIN2HEX(RIGHT(HEX2BIN(BE545,8)&amp;LEFT(HEX2BIN($A$1,8),1),8)),IF(AND(BI543=2,BE538=1),DEC2HEX(_xlfn.BITXOR(BIN2DEC(RIGHT(HEX2BIN(BE545,8)&amp;LEFT(HEX2BIN($A$1,8),1),8)),HEX2DEC($B$1))),IF(AND(BI543=3,BE538=1),DEC2HEX(_xlfn.BITXOR(_xlfn.BITXOR(BIN2DEC(RIGHT(HEX2BIN(BE545,8)&amp;LEFT(HEX2BIN($A$1,8),1),8)),HEX2DEC($B$1)),HEX2DEC(BE545))),BE545)))))),HEX2DEC(IF(AND(BJ543=3,BE539=0),DEC2HEX(_xlfn.BITXOR(BIN2DEC((RIGHT(HEX2BIN(BE546,8)&amp;LEFT(HEX2BIN($A$1,8),1),8))),HEX2DEC(BE546)),2),IF(AND(BJ543=2,BE539=0),BIN2HEX(RIGHT(HEX2BIN(BE546,8)&amp;LEFT(HEX2BIN($A$1,8),1),8)),IF(AND(BJ543=2,BE539=1),DEC2HEX(_xlfn.BITXOR(BIN2DEC(RIGHT(HEX2BIN(BE546,8)&amp;LEFT(HEX2BIN($A$1,8),1),8)),HEX2DEC($B$1))),IF(AND(BJ543=3,BE539=1),DEC2HEX(_xlfn.BITXOR(_xlfn.BITXOR(BIN2DEC(RIGHT(HEX2BIN(BE546,8)&amp;LEFT(HEX2BIN($A$1,8),1),8)),HEX2DEC($B$1)),HEX2DEC(BE546))),BE546)))))))</f>
        <v>65</v>
      </c>
    </row>
    <row r="544" spans="2:67" x14ac:dyDescent="0.25">
      <c r="B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H544" s="14" t="str">
        <f t="shared" ref="AH544:AH546" si="306">V34</f>
        <v>27</v>
      </c>
      <c r="AI544" s="14" t="str">
        <f t="shared" ref="AI544:AI546" si="307">Y34</f>
        <v>D1</v>
      </c>
      <c r="AJ544" s="14" t="str">
        <f t="shared" ref="AJ544:AJ546" si="308">AB34</f>
        <v>27</v>
      </c>
      <c r="AK544" s="14" t="str">
        <f t="shared" ref="AK544:AK546" si="309">AE34</f>
        <v>60</v>
      </c>
      <c r="AM544" s="37" t="str">
        <f t="shared" ref="AM544:AM546" si="310">BL502</f>
        <v>C8</v>
      </c>
      <c r="AN544" s="37" t="str">
        <f t="shared" si="299"/>
        <v>20</v>
      </c>
      <c r="AO544" s="37" t="str">
        <f t="shared" si="299"/>
        <v>66</v>
      </c>
      <c r="AP544" s="37" t="str">
        <f t="shared" si="299"/>
        <v>43</v>
      </c>
      <c r="AR544" s="37" t="str">
        <f t="shared" ref="AR544:AR546" si="311">DEC2HEX(_xlfn.BITXOR(HEX2DEC(AH544),HEX2DEC(AM544)))</f>
        <v>EF</v>
      </c>
      <c r="AS544" s="37" t="str">
        <f t="shared" si="300"/>
        <v>F1</v>
      </c>
      <c r="AT544" s="37" t="str">
        <f t="shared" si="301"/>
        <v>41</v>
      </c>
      <c r="AU544" s="37" t="str">
        <f t="shared" si="302"/>
        <v>23</v>
      </c>
      <c r="AW544" s="37" t="s">
        <v>194</v>
      </c>
      <c r="AX544" s="37" t="s">
        <v>78</v>
      </c>
      <c r="AY544" s="37">
        <v>83</v>
      </c>
      <c r="AZ544" s="37">
        <v>26</v>
      </c>
      <c r="BB544" s="43" t="str">
        <f>AX544</f>
        <v>A1</v>
      </c>
      <c r="BC544" s="43">
        <f t="shared" ref="BC544" si="312">AY544</f>
        <v>83</v>
      </c>
      <c r="BD544" s="43">
        <f t="shared" ref="BD544" si="313">AZ544</f>
        <v>26</v>
      </c>
      <c r="BE544" s="29" t="str">
        <f>AW544</f>
        <v>DF</v>
      </c>
      <c r="BG544" s="34">
        <v>1</v>
      </c>
      <c r="BH544" s="34">
        <v>2</v>
      </c>
      <c r="BI544" s="34">
        <v>3</v>
      </c>
      <c r="BJ544" s="34">
        <v>1</v>
      </c>
      <c r="BK544" s="46"/>
      <c r="BL544" s="47" t="str">
        <f>DEC2HEX(_xlfn.BITXOR(_xlfn.BITXOR(_xlfn.BITXOR(HEX2DEC(IF(AND(BG544=3,BB536=0),DEC2HEX(_xlfn.BITXOR(BIN2DEC((RIGHT(HEX2BIN(BB543,8)&amp;LEFT(HEX2BIN($A$1,8),1),8))),HEX2DEC(BB543)),2),IF(AND(BG544=2,BB536=0),BIN2HEX(RIGHT(HEX2BIN(BB543,8)&amp;LEFT(HEX2BIN($A$1,8),1),8)),IF(AND(BG544=2,BB536=1),DEC2HEX(_xlfn.BITXOR(BIN2DEC(RIGHT(HEX2BIN(BB543,8)&amp;LEFT(HEX2BIN($A$1,8),1),8)),HEX2DEC($B$1))),IF(AND(BG544=3,BB536=1),DEC2HEX(_xlfn.BITXOR(_xlfn.BITXOR(BIN2DEC(RIGHT(HEX2BIN(BB543,8)&amp;LEFT(HEX2BIN($A$1,8),1),8)),HEX2DEC($B$1)),HEX2DEC(BB543))),BB543))))),HEX2DEC(IF(AND(BH544=3,BB537=0),DEC2HEX(_xlfn.BITXOR(BIN2DEC((RIGHT(HEX2BIN(BB544,8)&amp;LEFT(HEX2BIN($A$1,8),1),8))),HEX2DEC(BB544)),2),IF(AND(BH544=2,BB537=0),BIN2HEX(RIGHT(HEX2BIN(BB544,8)&amp;LEFT(HEX2BIN($A$1,8),1),8)),IF(AND(BH544=2,BB537=1),DEC2HEX(_xlfn.BITXOR(BIN2DEC(RIGHT(HEX2BIN(BB544,8)&amp;LEFT(HEX2BIN($A$1,8),1),8)),HEX2DEC($B$1))),IF(AND(BH544=3,BB537=1),DEC2HEX(_xlfn.BITXOR(_xlfn.BITXOR(BIN2DEC(RIGHT(HEX2BIN(BB544,8)&amp;LEFT(HEX2BIN($A$1,8),1),8)),HEX2DEC($B$1)),HEX2DEC(BB544))),BB544)))))),HEX2DEC(IF(AND(BI544=3,BB538=0),DEC2HEX(_xlfn.BITXOR(BIN2DEC((RIGHT(HEX2BIN(BB545,8)&amp;LEFT(HEX2BIN($A$1,8),1),8))),HEX2DEC(BB545)),2),IF(AND(BI544=2,BB538=0),BIN2HEX(RIGHT(HEX2BIN(BB545,8)&amp;LEFT(HEX2BIN($A$1,8),1),8)),IF(AND(BI544=2,BB538=1),DEC2HEX(_xlfn.BITXOR(BIN2DEC(RIGHT(HEX2BIN(BB545,8)&amp;LEFT(HEX2BIN($A$1,8),1),8)),HEX2DEC($B$1))),IF(AND(BI544=3,BB538=1),DEC2HEX(_xlfn.BITXOR(_xlfn.BITXOR(BIN2DEC(RIGHT(HEX2BIN(BB545,8)&amp;LEFT(HEX2BIN($A$1,8),1),8)),HEX2DEC($B$1)),HEX2DEC(BB545))),BB545)))))),HEX2DEC(IF(AND(BJ544=3,BB539=0),DEC2HEX(_xlfn.BITXOR(BIN2DEC((RIGHT(HEX2BIN(BB546,8)&amp;LEFT(HEX2BIN($A$1,8),1),8))),HEX2DEC(BB546)),2),IF(AND(BJ544=2,BB539=0),BIN2HEX(RIGHT(HEX2BIN(BB546,8)&amp;LEFT(HEX2BIN($A$1,8),1),8)),IF(AND(BJ544=2,BB539=1),DEC2HEX(_xlfn.BITXOR(BIN2DEC(RIGHT(HEX2BIN(BB546,8)&amp;LEFT(HEX2BIN($A$1,8),1),8)),HEX2DEC($B$1))),IF(AND(BJ544=3,BB539=1),DEC2HEX(_xlfn.BITXOR(_xlfn.BITXOR(BIN2DEC(RIGHT(HEX2BIN(BB546,8)&amp;LEFT(HEX2BIN($A$1,8),1),8)),HEX2DEC($B$1)),HEX2DEC(BB546))),BB546)))))))</f>
        <v>D</v>
      </c>
      <c r="BM544" s="47" t="str">
        <f>DEC2HEX(_xlfn.BITXOR(_xlfn.BITXOR(_xlfn.BITXOR(HEX2DEC(IF(AND(BG544=3,BC536=0),DEC2HEX(_xlfn.BITXOR(BIN2DEC((RIGHT(HEX2BIN(BC543,8)&amp;LEFT(HEX2BIN($A$1,8),1),8))),HEX2DEC(BC543)),2),IF(AND(BG544=2,BC536=0),BIN2HEX(RIGHT(HEX2BIN(BC543,8)&amp;LEFT(HEX2BIN($A$1,8),1),8)),IF(AND(BG544=2,BC536=1),DEC2HEX(_xlfn.BITXOR(BIN2DEC(RIGHT(HEX2BIN(BC543,8)&amp;LEFT(HEX2BIN($A$1,8),1),8)),HEX2DEC($B$1))),IF(AND(BG544=3,BC536=1),DEC2HEX(_xlfn.BITXOR(_xlfn.BITXOR(BIN2DEC(RIGHT(HEX2BIN(BC543,8)&amp;LEFT(HEX2BIN($A$1,8),1),8)),HEX2DEC($B$1)),HEX2DEC(BC543))),BC543))))),HEX2DEC(IF(AND(BH544=3,BC537=0),DEC2HEX(_xlfn.BITXOR(BIN2DEC((RIGHT(HEX2BIN(BC544,8)&amp;LEFT(HEX2BIN($A$1,8),1),8))),HEX2DEC(BC544)),2),IF(AND(BH544=2,BC537=0),BIN2HEX(RIGHT(HEX2BIN(BC544,8)&amp;LEFT(HEX2BIN($A$1,8),1),8)),IF(AND(BH544=2,BC537=1),DEC2HEX(_xlfn.BITXOR(BIN2DEC(RIGHT(HEX2BIN(BC544,8)&amp;LEFT(HEX2BIN($A$1,8),1),8)),HEX2DEC($B$1))),IF(AND(BH544=3,BC537=1),DEC2HEX(_xlfn.BITXOR(_xlfn.BITXOR(BIN2DEC(RIGHT(HEX2BIN(BC544,8)&amp;LEFT(HEX2BIN($A$1,8),1),8)),HEX2DEC($B$1)),HEX2DEC(BC544))),BC544)))))),HEX2DEC(IF(AND(BI544=3,BC538=0),DEC2HEX(_xlfn.BITXOR(BIN2DEC((RIGHT(HEX2BIN(BC545,8)&amp;LEFT(HEX2BIN($A$1,8),1),8))),HEX2DEC(BC545)),2),IF(AND(BI544=2,BC538=0),BIN2HEX(RIGHT(HEX2BIN(BC545,8)&amp;LEFT(HEX2BIN($A$1,8),1),8)),IF(AND(BI544=2,BC538=1),DEC2HEX(_xlfn.BITXOR(BIN2DEC(RIGHT(HEX2BIN(BC545,8)&amp;LEFT(HEX2BIN($A$1,8),1),8)),HEX2DEC($B$1))),IF(AND(BI544=3,BC538=1),DEC2HEX(_xlfn.BITXOR(_xlfn.BITXOR(BIN2DEC(RIGHT(HEX2BIN(BC545,8)&amp;LEFT(HEX2BIN($A$1,8),1),8)),HEX2DEC($B$1)),HEX2DEC(BC545))),BC545)))))),HEX2DEC(IF(AND(BJ544=3,BC539=0),DEC2HEX(_xlfn.BITXOR(BIN2DEC((RIGHT(HEX2BIN(BC546,8)&amp;LEFT(HEX2BIN($A$1,8),1),8))),HEX2DEC(BC546)),2),IF(AND(BJ544=2,BC539=0),BIN2HEX(RIGHT(HEX2BIN(BC546,8)&amp;LEFT(HEX2BIN($A$1,8),1),8)),IF(AND(BJ544=2,BC539=1),DEC2HEX(_xlfn.BITXOR(BIN2DEC(RIGHT(HEX2BIN(BC546,8)&amp;LEFT(HEX2BIN($A$1,8),1),8)),HEX2DEC($B$1))),IF(AND(BJ544=3,BC539=1),DEC2HEX(_xlfn.BITXOR(_xlfn.BITXOR(BIN2DEC(RIGHT(HEX2BIN(BC546,8)&amp;LEFT(HEX2BIN($A$1,8),1),8)),HEX2DEC($B$1)),HEX2DEC(BC546))),BC546)))))))</f>
        <v>C1</v>
      </c>
      <c r="BN544" s="47" t="str">
        <f>DEC2HEX(_xlfn.BITXOR(_xlfn.BITXOR(_xlfn.BITXOR(HEX2DEC(IF(AND(BG544=3,BD536=0),DEC2HEX(_xlfn.BITXOR(BIN2DEC((RIGHT(HEX2BIN(BD543,8)&amp;LEFT(HEX2BIN($A$1,8),1),8))),HEX2DEC(BD543)),2),IF(AND(BG544=2,BD536=0),BIN2HEX(RIGHT(HEX2BIN(BD543,8)&amp;LEFT(HEX2BIN($A$1,8),1),8)),IF(AND(BG544=2,BD536=1),DEC2HEX(_xlfn.BITXOR(BIN2DEC(RIGHT(HEX2BIN(BD543,8)&amp;LEFT(HEX2BIN($A$1,8),1),8)),HEX2DEC($B$1))),IF(AND(BG544=3,BD536=1),DEC2HEX(_xlfn.BITXOR(_xlfn.BITXOR(BIN2DEC(RIGHT(HEX2BIN(BD543,8)&amp;LEFT(HEX2BIN($A$1,8),1),8)),HEX2DEC($B$1)),HEX2DEC(BD543))),BD543))))),HEX2DEC(IF(AND(BH544=3,BD537=0),DEC2HEX(_xlfn.BITXOR(BIN2DEC((RIGHT(HEX2BIN(BD544,8)&amp;LEFT(HEX2BIN($A$1,8),1),8))),HEX2DEC(BD544)),2),IF(AND(BH544=2,BD537=0),BIN2HEX(RIGHT(HEX2BIN(BD544,8)&amp;LEFT(HEX2BIN($A$1,8),1),8)),IF(AND(BH544=2,BD537=1),DEC2HEX(_xlfn.BITXOR(BIN2DEC(RIGHT(HEX2BIN(BD544,8)&amp;LEFT(HEX2BIN($A$1,8),1),8)),HEX2DEC($B$1))),IF(AND(BH544=3,BD537=1),DEC2HEX(_xlfn.BITXOR(_xlfn.BITXOR(BIN2DEC(RIGHT(HEX2BIN(BD544,8)&amp;LEFT(HEX2BIN($A$1,8),1),8)),HEX2DEC($B$1)),HEX2DEC(BD544))),BD544)))))),HEX2DEC(IF(AND(BI544=3,BD538=0),DEC2HEX(_xlfn.BITXOR(BIN2DEC((RIGHT(HEX2BIN(BD545,8)&amp;LEFT(HEX2BIN($A$1,8),1),8))),HEX2DEC(BD545)),2),IF(AND(BI544=2,BD538=0),BIN2HEX(RIGHT(HEX2BIN(BD545,8)&amp;LEFT(HEX2BIN($A$1,8),1),8)),IF(AND(BI544=2,BD538=1),DEC2HEX(_xlfn.BITXOR(BIN2DEC(RIGHT(HEX2BIN(BD545,8)&amp;LEFT(HEX2BIN($A$1,8),1),8)),HEX2DEC($B$1))),IF(AND(BI544=3,BD538=1),DEC2HEX(_xlfn.BITXOR(_xlfn.BITXOR(BIN2DEC(RIGHT(HEX2BIN(BD545,8)&amp;LEFT(HEX2BIN($A$1,8),1),8)),HEX2DEC($B$1)),HEX2DEC(BD545))),BD545)))))),HEX2DEC(IF(AND(BJ544=3,BD539=0),DEC2HEX(_xlfn.BITXOR(BIN2DEC((RIGHT(HEX2BIN(BD546,8)&amp;LEFT(HEX2BIN($A$1,8),1),8))),HEX2DEC(BD546)),2),IF(AND(BJ544=2,BD539=0),BIN2HEX(RIGHT(HEX2BIN(BD546,8)&amp;LEFT(HEX2BIN($A$1,8),1),8)),IF(AND(BJ544=2,BD539=1),DEC2HEX(_xlfn.BITXOR(BIN2DEC(RIGHT(HEX2BIN(BD546,8)&amp;LEFT(HEX2BIN($A$1,8),1),8)),HEX2DEC($B$1))),IF(AND(BJ544=3,BD539=1),DEC2HEX(_xlfn.BITXOR(_xlfn.BITXOR(BIN2DEC(RIGHT(HEX2BIN(BD546,8)&amp;LEFT(HEX2BIN($A$1,8),1),8)),HEX2DEC($B$1)),HEX2DEC(BD546))),BD546)))))))</f>
        <v>AE</v>
      </c>
      <c r="BO544" s="47" t="str">
        <f>DEC2HEX(_xlfn.BITXOR(_xlfn.BITXOR(_xlfn.BITXOR(HEX2DEC(IF(AND(BG544=3,BE536=0),DEC2HEX(_xlfn.BITXOR(BIN2DEC((RIGHT(HEX2BIN(BE543,8)&amp;LEFT(HEX2BIN($A$1,8),1),8))),HEX2DEC(BE543)),2),IF(AND(BG544=2,BE536=0),BIN2HEX(RIGHT(HEX2BIN(BE543,8)&amp;LEFT(HEX2BIN($A$1,8),1),8)),IF(AND(BG544=2,BE536=1),DEC2HEX(_xlfn.BITXOR(BIN2DEC(RIGHT(HEX2BIN(BE543,8)&amp;LEFT(HEX2BIN($A$1,8),1),8)),HEX2DEC($B$1))),IF(AND(BG544=3,BE536=1),DEC2HEX(_xlfn.BITXOR(_xlfn.BITXOR(BIN2DEC(RIGHT(HEX2BIN(BE543,8)&amp;LEFT(HEX2BIN($A$1,8),1),8)),HEX2DEC($B$1)),HEX2DEC(BE543))),BE543))))),HEX2DEC(IF(AND(BH544=3,BE537=0),DEC2HEX(_xlfn.BITXOR(BIN2DEC((RIGHT(HEX2BIN(BE544,8)&amp;LEFT(HEX2BIN($A$1,8),1),8))),HEX2DEC(BE544)),2),IF(AND(BH544=2,BE537=0),BIN2HEX(RIGHT(HEX2BIN(BE544,8)&amp;LEFT(HEX2BIN($A$1,8),1),8)),IF(AND(BH544=2,BE537=1),DEC2HEX(_xlfn.BITXOR(BIN2DEC(RIGHT(HEX2BIN(BE544,8)&amp;LEFT(HEX2BIN($A$1,8),1),8)),HEX2DEC($B$1))),IF(AND(BH544=3,BE537=1),DEC2HEX(_xlfn.BITXOR(_xlfn.BITXOR(BIN2DEC(RIGHT(HEX2BIN(BE544,8)&amp;LEFT(HEX2BIN($A$1,8),1),8)),HEX2DEC($B$1)),HEX2DEC(BE544))),BE544)))))),HEX2DEC(IF(AND(BI544=3,BE538=0),DEC2HEX(_xlfn.BITXOR(BIN2DEC((RIGHT(HEX2BIN(BE545,8)&amp;LEFT(HEX2BIN($A$1,8),1),8))),HEX2DEC(BE545)),2),IF(AND(BI544=2,BE538=0),BIN2HEX(RIGHT(HEX2BIN(BE545,8)&amp;LEFT(HEX2BIN($A$1,8),1),8)),IF(AND(BI544=2,BE538=1),DEC2HEX(_xlfn.BITXOR(BIN2DEC(RIGHT(HEX2BIN(BE545,8)&amp;LEFT(HEX2BIN($A$1,8),1),8)),HEX2DEC($B$1))),IF(AND(BI544=3,BE538=1),DEC2HEX(_xlfn.BITXOR(_xlfn.BITXOR(BIN2DEC(RIGHT(HEX2BIN(BE545,8)&amp;LEFT(HEX2BIN($A$1,8),1),8)),HEX2DEC($B$1)),HEX2DEC(BE545))),BE545)))))),HEX2DEC(IF(AND(BJ544=3,BE539=0),DEC2HEX(_xlfn.BITXOR(BIN2DEC((RIGHT(HEX2BIN(BE546,8)&amp;LEFT(HEX2BIN($A$1,8),1),8))),HEX2DEC(BE546)),2),IF(AND(BJ544=2,BE539=0),BIN2HEX(RIGHT(HEX2BIN(BE546,8)&amp;LEFT(HEX2BIN($A$1,8),1),8)),IF(AND(BJ544=2,BE539=1),DEC2HEX(_xlfn.BITXOR(BIN2DEC(RIGHT(HEX2BIN(BE546,8)&amp;LEFT(HEX2BIN($A$1,8),1),8)),HEX2DEC($B$1))),IF(AND(BJ544=3,BE539=1),DEC2HEX(_xlfn.BITXOR(_xlfn.BITXOR(BIN2DEC(RIGHT(HEX2BIN(BE546,8)&amp;LEFT(HEX2BIN($A$1,8),1),8)),HEX2DEC($B$1)),HEX2DEC(BE546))),BE546)))))))</f>
        <v>A5</v>
      </c>
    </row>
    <row r="545" spans="2:67" x14ac:dyDescent="0.25">
      <c r="B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H545" s="14" t="str">
        <f t="shared" si="306"/>
        <v>21</v>
      </c>
      <c r="AI545" s="14" t="str">
        <f t="shared" si="307"/>
        <v>60</v>
      </c>
      <c r="AJ545" s="14" t="str">
        <f t="shared" si="308"/>
        <v>3D</v>
      </c>
      <c r="AK545" s="14" t="str">
        <f t="shared" si="309"/>
        <v>CC</v>
      </c>
      <c r="AM545" s="37" t="str">
        <f t="shared" si="310"/>
        <v>98</v>
      </c>
      <c r="AN545" s="37" t="str">
        <f t="shared" si="299"/>
        <v>85</v>
      </c>
      <c r="AO545" s="37" t="str">
        <f t="shared" si="299"/>
        <v>89</v>
      </c>
      <c r="AP545" s="37" t="str">
        <f t="shared" si="299"/>
        <v>78</v>
      </c>
      <c r="AR545" s="37" t="str">
        <f t="shared" si="311"/>
        <v>B9</v>
      </c>
      <c r="AS545" s="37" t="str">
        <f t="shared" si="300"/>
        <v>E5</v>
      </c>
      <c r="AT545" s="37" t="str">
        <f t="shared" si="301"/>
        <v>B4</v>
      </c>
      <c r="AU545" s="37" t="str">
        <f t="shared" si="302"/>
        <v>B4</v>
      </c>
      <c r="AW545" s="37">
        <v>56</v>
      </c>
      <c r="AX545" s="37" t="s">
        <v>170</v>
      </c>
      <c r="AY545" s="37" t="s">
        <v>103</v>
      </c>
      <c r="AZ545" s="37" t="s">
        <v>103</v>
      </c>
      <c r="BB545" s="43" t="str">
        <f>AY545</f>
        <v>8D</v>
      </c>
      <c r="BC545" s="43" t="str">
        <f>AZ545</f>
        <v>8D</v>
      </c>
      <c r="BD545" s="43">
        <f>AW545</f>
        <v>56</v>
      </c>
      <c r="BE545" s="29" t="str">
        <f>AX545</f>
        <v>D9</v>
      </c>
      <c r="BG545" s="34">
        <v>1</v>
      </c>
      <c r="BH545" s="34">
        <v>1</v>
      </c>
      <c r="BI545" s="34">
        <v>2</v>
      </c>
      <c r="BJ545" s="34">
        <v>3</v>
      </c>
      <c r="BK545" s="46"/>
      <c r="BL545" s="47" t="str">
        <f>DEC2HEX(_xlfn.BITXOR(_xlfn.BITXOR(_xlfn.BITXOR(HEX2DEC(IF(AND(BG545=3,BB536=0),DEC2HEX(_xlfn.BITXOR(BIN2DEC((RIGHT(HEX2BIN(BB543,8)&amp;LEFT(HEX2BIN($A$1,8),1),8))),HEX2DEC(BB543)),2),IF(AND(BG545=2,BB536=0),BIN2HEX(RIGHT(HEX2BIN(BB543,8)&amp;LEFT(HEX2BIN($A$1,8),1),8)),IF(AND(BG545=2,BB536=1),DEC2HEX(_xlfn.BITXOR(BIN2DEC(RIGHT(HEX2BIN(BB543,8)&amp;LEFT(HEX2BIN($A$1,8),1),8)),HEX2DEC($B$1))),IF(AND(BG545=3,BB536=1),DEC2HEX(_xlfn.BITXOR(_xlfn.BITXOR(BIN2DEC(RIGHT(HEX2BIN(BB543,8)&amp;LEFT(HEX2BIN($A$1,8),1),8)),HEX2DEC($B$1)),HEX2DEC(BB543))),BB543))))),HEX2DEC(IF(AND(BH545=3,BB537=0),DEC2HEX(_xlfn.BITXOR(BIN2DEC((RIGHT(HEX2BIN(BB544,8)&amp;LEFT(HEX2BIN($A$1,8),1),8))),HEX2DEC(BB544)),2),IF(AND(BH545=2,BB537=0),BIN2HEX(RIGHT(HEX2BIN(BB544,8)&amp;LEFT(HEX2BIN($A$1,8),1),8)),IF(AND(BH545=2,BB537=1),DEC2HEX(_xlfn.BITXOR(BIN2DEC(RIGHT(HEX2BIN(BB544,8)&amp;LEFT(HEX2BIN($A$1,8),1),8)),HEX2DEC($B$1))),IF(AND(BH545=3,BB537=1),DEC2HEX(_xlfn.BITXOR(_xlfn.BITXOR(BIN2DEC(RIGHT(HEX2BIN(BB544,8)&amp;LEFT(HEX2BIN($A$1,8),1),8)),HEX2DEC($B$1)),HEX2DEC(BB544))),BB544)))))),HEX2DEC(IF(AND(BI545=3,BB538=0),DEC2HEX(_xlfn.BITXOR(BIN2DEC((RIGHT(HEX2BIN(BB545,8)&amp;LEFT(HEX2BIN($A$1,8),1),8))),HEX2DEC(BB545)),2),IF(AND(BI545=2,BB538=0),BIN2HEX(RIGHT(HEX2BIN(BB545,8)&amp;LEFT(HEX2BIN($A$1,8),1),8)),IF(AND(BI545=2,BB538=1),DEC2HEX(_xlfn.BITXOR(BIN2DEC(RIGHT(HEX2BIN(BB545,8)&amp;LEFT(HEX2BIN($A$1,8),1),8)),HEX2DEC($B$1))),IF(AND(BI545=3,BB538=1),DEC2HEX(_xlfn.BITXOR(_xlfn.BITXOR(BIN2DEC(RIGHT(HEX2BIN(BB545,8)&amp;LEFT(HEX2BIN($A$1,8),1),8)),HEX2DEC($B$1)),HEX2DEC(BB545))),BB545)))))),HEX2DEC(IF(AND(BJ545=3,BB539=0),DEC2HEX(_xlfn.BITXOR(BIN2DEC((RIGHT(HEX2BIN(BB546,8)&amp;LEFT(HEX2BIN($A$1,8),1),8))),HEX2DEC(BB546)),2),IF(AND(BJ545=2,BB539=0),BIN2HEX(RIGHT(HEX2BIN(BB546,8)&amp;LEFT(HEX2BIN($A$1,8),1),8)),IF(AND(BJ545=2,BB539=1),DEC2HEX(_xlfn.BITXOR(BIN2DEC(RIGHT(HEX2BIN(BB546,8)&amp;LEFT(HEX2BIN($A$1,8),1),8)),HEX2DEC($B$1))),IF(AND(BJ545=3,BB539=1),DEC2HEX(_xlfn.BITXOR(_xlfn.BITXOR(BIN2DEC(RIGHT(HEX2BIN(BB546,8)&amp;LEFT(HEX2BIN($A$1,8),1),8)),HEX2DEC($B$1)),HEX2DEC(BB546))),BB546)))))))</f>
        <v>B4</v>
      </c>
      <c r="BM545" s="47" t="str">
        <f>DEC2HEX(_xlfn.BITXOR(_xlfn.BITXOR(_xlfn.BITXOR(HEX2DEC(IF(AND(BG545=3,BC536=0),DEC2HEX(_xlfn.BITXOR(BIN2DEC((RIGHT(HEX2BIN(BC543,8)&amp;LEFT(HEX2BIN($A$1,8),1),8))),HEX2DEC(BC543)),2),IF(AND(BG545=2,BC536=0),BIN2HEX(RIGHT(HEX2BIN(BC543,8)&amp;LEFT(HEX2BIN($A$1,8),1),8)),IF(AND(BG545=2,BC536=1),DEC2HEX(_xlfn.BITXOR(BIN2DEC(RIGHT(HEX2BIN(BC543,8)&amp;LEFT(HEX2BIN($A$1,8),1),8)),HEX2DEC($B$1))),IF(AND(BG545=3,BC536=1),DEC2HEX(_xlfn.BITXOR(_xlfn.BITXOR(BIN2DEC(RIGHT(HEX2BIN(BC543,8)&amp;LEFT(HEX2BIN($A$1,8),1),8)),HEX2DEC($B$1)),HEX2DEC(BC543))),BC543))))),HEX2DEC(IF(AND(BH545=3,BC537=0),DEC2HEX(_xlfn.BITXOR(BIN2DEC((RIGHT(HEX2BIN(BC544,8)&amp;LEFT(HEX2BIN($A$1,8),1),8))),HEX2DEC(BC544)),2),IF(AND(BH545=2,BC537=0),BIN2HEX(RIGHT(HEX2BIN(BC544,8)&amp;LEFT(HEX2BIN($A$1,8),1),8)),IF(AND(BH545=2,BC537=1),DEC2HEX(_xlfn.BITXOR(BIN2DEC(RIGHT(HEX2BIN(BC544,8)&amp;LEFT(HEX2BIN($A$1,8),1),8)),HEX2DEC($B$1))),IF(AND(BH545=3,BC537=1),DEC2HEX(_xlfn.BITXOR(_xlfn.BITXOR(BIN2DEC(RIGHT(HEX2BIN(BC544,8)&amp;LEFT(HEX2BIN($A$1,8),1),8)),HEX2DEC($B$1)),HEX2DEC(BC544))),BC544)))))),HEX2DEC(IF(AND(BI545=3,BC538=0),DEC2HEX(_xlfn.BITXOR(BIN2DEC((RIGHT(HEX2BIN(BC545,8)&amp;LEFT(HEX2BIN($A$1,8),1),8))),HEX2DEC(BC545)),2),IF(AND(BI545=2,BC538=0),BIN2HEX(RIGHT(HEX2BIN(BC545,8)&amp;LEFT(HEX2BIN($A$1,8),1),8)),IF(AND(BI545=2,BC538=1),DEC2HEX(_xlfn.BITXOR(BIN2DEC(RIGHT(HEX2BIN(BC545,8)&amp;LEFT(HEX2BIN($A$1,8),1),8)),HEX2DEC($B$1))),IF(AND(BI545=3,BC538=1),DEC2HEX(_xlfn.BITXOR(_xlfn.BITXOR(BIN2DEC(RIGHT(HEX2BIN(BC545,8)&amp;LEFT(HEX2BIN($A$1,8),1),8)),HEX2DEC($B$1)),HEX2DEC(BC545))),BC545)))))),HEX2DEC(IF(AND(BJ545=3,BC539=0),DEC2HEX(_xlfn.BITXOR(BIN2DEC((RIGHT(HEX2BIN(BC546,8)&amp;LEFT(HEX2BIN($A$1,8),1),8))),HEX2DEC(BC546)),2),IF(AND(BJ545=2,BC539=0),BIN2HEX(RIGHT(HEX2BIN(BC546,8)&amp;LEFT(HEX2BIN($A$1,8),1),8)),IF(AND(BJ545=2,BC539=1),DEC2HEX(_xlfn.BITXOR(BIN2DEC(RIGHT(HEX2BIN(BC546,8)&amp;LEFT(HEX2BIN($A$1,8),1),8)),HEX2DEC($B$1))),IF(AND(BJ545=3,BC539=1),DEC2HEX(_xlfn.BITXOR(_xlfn.BITXOR(BIN2DEC(RIGHT(HEX2BIN(BC546,8)&amp;LEFT(HEX2BIN($A$1,8),1),8)),HEX2DEC($B$1)),HEX2DEC(BC546))),BC546)))))))</f>
        <v>F5</v>
      </c>
      <c r="BN545" s="47" t="str">
        <f>DEC2HEX(_xlfn.BITXOR(_xlfn.BITXOR(_xlfn.BITXOR(HEX2DEC(IF(AND(BG545=3,BD536=0),DEC2HEX(_xlfn.BITXOR(BIN2DEC((RIGHT(HEX2BIN(BD543,8)&amp;LEFT(HEX2BIN($A$1,8),1),8))),HEX2DEC(BD543)),2),IF(AND(BG545=2,BD536=0),BIN2HEX(RIGHT(HEX2BIN(BD543,8)&amp;LEFT(HEX2BIN($A$1,8),1),8)),IF(AND(BG545=2,BD536=1),DEC2HEX(_xlfn.BITXOR(BIN2DEC(RIGHT(HEX2BIN(BD543,8)&amp;LEFT(HEX2BIN($A$1,8),1),8)),HEX2DEC($B$1))),IF(AND(BG545=3,BD536=1),DEC2HEX(_xlfn.BITXOR(_xlfn.BITXOR(BIN2DEC(RIGHT(HEX2BIN(BD543,8)&amp;LEFT(HEX2BIN($A$1,8),1),8)),HEX2DEC($B$1)),HEX2DEC(BD543))),BD543))))),HEX2DEC(IF(AND(BH545=3,BD537=0),DEC2HEX(_xlfn.BITXOR(BIN2DEC((RIGHT(HEX2BIN(BD544,8)&amp;LEFT(HEX2BIN($A$1,8),1),8))),HEX2DEC(BD544)),2),IF(AND(BH545=2,BD537=0),BIN2HEX(RIGHT(HEX2BIN(BD544,8)&amp;LEFT(HEX2BIN($A$1,8),1),8)),IF(AND(BH545=2,BD537=1),DEC2HEX(_xlfn.BITXOR(BIN2DEC(RIGHT(HEX2BIN(BD544,8)&amp;LEFT(HEX2BIN($A$1,8),1),8)),HEX2DEC($B$1))),IF(AND(BH545=3,BD537=1),DEC2HEX(_xlfn.BITXOR(_xlfn.BITXOR(BIN2DEC(RIGHT(HEX2BIN(BD544,8)&amp;LEFT(HEX2BIN($A$1,8),1),8)),HEX2DEC($B$1)),HEX2DEC(BD544))),BD544)))))),HEX2DEC(IF(AND(BI545=3,BD538=0),DEC2HEX(_xlfn.BITXOR(BIN2DEC((RIGHT(HEX2BIN(BD545,8)&amp;LEFT(HEX2BIN($A$1,8),1),8))),HEX2DEC(BD545)),2),IF(AND(BI545=2,BD538=0),BIN2HEX(RIGHT(HEX2BIN(BD545,8)&amp;LEFT(HEX2BIN($A$1,8),1),8)),IF(AND(BI545=2,BD538=1),DEC2HEX(_xlfn.BITXOR(BIN2DEC(RIGHT(HEX2BIN(BD545,8)&amp;LEFT(HEX2BIN($A$1,8),1),8)),HEX2DEC($B$1))),IF(AND(BI545=3,BD538=1),DEC2HEX(_xlfn.BITXOR(_xlfn.BITXOR(BIN2DEC(RIGHT(HEX2BIN(BD545,8)&amp;LEFT(HEX2BIN($A$1,8),1),8)),HEX2DEC($B$1)),HEX2DEC(BD545))),BD545)))))),HEX2DEC(IF(AND(BJ545=3,BD539=0),DEC2HEX(_xlfn.BITXOR(BIN2DEC((RIGHT(HEX2BIN(BD546,8)&amp;LEFT(HEX2BIN($A$1,8),1),8))),HEX2DEC(BD546)),2),IF(AND(BJ545=2,BD539=0),BIN2HEX(RIGHT(HEX2BIN(BD546,8)&amp;LEFT(HEX2BIN($A$1,8),1),8)),IF(AND(BJ545=2,BD539=1),DEC2HEX(_xlfn.BITXOR(BIN2DEC(RIGHT(HEX2BIN(BD546,8)&amp;LEFT(HEX2BIN($A$1,8),1),8)),HEX2DEC($B$1))),IF(AND(BJ545=3,BD539=1),DEC2HEX(_xlfn.BITXOR(_xlfn.BITXOR(BIN2DEC(RIGHT(HEX2BIN(BD546,8)&amp;LEFT(HEX2BIN($A$1,8),1),8)),HEX2DEC($B$1)),HEX2DEC(BD546))),BD546)))))))</f>
        <v>8A</v>
      </c>
      <c r="BO545" s="47" t="str">
        <f>DEC2HEX(_xlfn.BITXOR(_xlfn.BITXOR(_xlfn.BITXOR(HEX2DEC(IF(AND(BG545=3,BE536=0),DEC2HEX(_xlfn.BITXOR(BIN2DEC((RIGHT(HEX2BIN(BE543,8)&amp;LEFT(HEX2BIN($A$1,8),1),8))),HEX2DEC(BE543)),2),IF(AND(BG545=2,BE536=0),BIN2HEX(RIGHT(HEX2BIN(BE543,8)&amp;LEFT(HEX2BIN($A$1,8),1),8)),IF(AND(BG545=2,BE536=1),DEC2HEX(_xlfn.BITXOR(BIN2DEC(RIGHT(HEX2BIN(BE543,8)&amp;LEFT(HEX2BIN($A$1,8),1),8)),HEX2DEC($B$1))),IF(AND(BG545=3,BE536=1),DEC2HEX(_xlfn.BITXOR(_xlfn.BITXOR(BIN2DEC(RIGHT(HEX2BIN(BE543,8)&amp;LEFT(HEX2BIN($A$1,8),1),8)),HEX2DEC($B$1)),HEX2DEC(BE543))),BE543))))),HEX2DEC(IF(AND(BH545=3,BE537=0),DEC2HEX(_xlfn.BITXOR(BIN2DEC((RIGHT(HEX2BIN(BE544,8)&amp;LEFT(HEX2BIN($A$1,8),1),8))),HEX2DEC(BE544)),2),IF(AND(BH545=2,BE537=0),BIN2HEX(RIGHT(HEX2BIN(BE544,8)&amp;LEFT(HEX2BIN($A$1,8),1),8)),IF(AND(BH545=2,BE537=1),DEC2HEX(_xlfn.BITXOR(BIN2DEC(RIGHT(HEX2BIN(BE544,8)&amp;LEFT(HEX2BIN($A$1,8),1),8)),HEX2DEC($B$1))),IF(AND(BH545=3,BE537=1),DEC2HEX(_xlfn.BITXOR(_xlfn.BITXOR(BIN2DEC(RIGHT(HEX2BIN(BE544,8)&amp;LEFT(HEX2BIN($A$1,8),1),8)),HEX2DEC($B$1)),HEX2DEC(BE544))),BE544)))))),HEX2DEC(IF(AND(BI545=3,BE538=0),DEC2HEX(_xlfn.BITXOR(BIN2DEC((RIGHT(HEX2BIN(BE545,8)&amp;LEFT(HEX2BIN($A$1,8),1),8))),HEX2DEC(BE545)),2),IF(AND(BI545=2,BE538=0),BIN2HEX(RIGHT(HEX2BIN(BE545,8)&amp;LEFT(HEX2BIN($A$1,8),1),8)),IF(AND(BI545=2,BE538=1),DEC2HEX(_xlfn.BITXOR(BIN2DEC(RIGHT(HEX2BIN(BE545,8)&amp;LEFT(HEX2BIN($A$1,8),1),8)),HEX2DEC($B$1))),IF(AND(BI545=3,BE538=1),DEC2HEX(_xlfn.BITXOR(_xlfn.BITXOR(BIN2DEC(RIGHT(HEX2BIN(BE545,8)&amp;LEFT(HEX2BIN($A$1,8),1),8)),HEX2DEC($B$1)),HEX2DEC(BE545))),BE545)))))),HEX2DEC(IF(AND(BJ545=3,BE539=0),DEC2HEX(_xlfn.BITXOR(BIN2DEC((RIGHT(HEX2BIN(BE546,8)&amp;LEFT(HEX2BIN($A$1,8),1),8))),HEX2DEC(BE546)),2),IF(AND(BJ545=2,BE539=0),BIN2HEX(RIGHT(HEX2BIN(BE546,8)&amp;LEFT(HEX2BIN($A$1,8),1),8)),IF(AND(BJ545=2,BE539=1),DEC2HEX(_xlfn.BITXOR(BIN2DEC(RIGHT(HEX2BIN(BE546,8)&amp;LEFT(HEX2BIN($A$1,8),1),8)),HEX2DEC($B$1))),IF(AND(BJ545=3,BE539=1),DEC2HEX(_xlfn.BITXOR(_xlfn.BITXOR(BIN2DEC(RIGHT(HEX2BIN(BE546,8)&amp;LEFT(HEX2BIN($A$1,8),1),8)),HEX2DEC($B$1)),HEX2DEC(BE546))),BE546)))))))</f>
        <v>CB</v>
      </c>
    </row>
    <row r="546" spans="2:67" x14ac:dyDescent="0.25">
      <c r="B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H546" s="14" t="str">
        <f t="shared" si="306"/>
        <v>B3</v>
      </c>
      <c r="AI546" s="14" t="str">
        <f t="shared" si="307"/>
        <v>A1</v>
      </c>
      <c r="AJ546" s="14" t="str">
        <f t="shared" si="308"/>
        <v>5D</v>
      </c>
      <c r="AK546" s="14" t="str">
        <f t="shared" si="309"/>
        <v>29</v>
      </c>
      <c r="AM546" s="37" t="str">
        <f t="shared" si="310"/>
        <v>6C</v>
      </c>
      <c r="AN546" s="37" t="str">
        <f t="shared" si="299"/>
        <v>20</v>
      </c>
      <c r="AO546" s="37" t="str">
        <f t="shared" si="299"/>
        <v>61</v>
      </c>
      <c r="AP546" s="37" t="str">
        <f t="shared" si="299"/>
        <v>FA</v>
      </c>
      <c r="AR546" s="37" t="str">
        <f t="shared" si="311"/>
        <v>DF</v>
      </c>
      <c r="AS546" s="37" t="str">
        <f t="shared" si="300"/>
        <v>81</v>
      </c>
      <c r="AT546" s="37" t="str">
        <f t="shared" si="301"/>
        <v>3C</v>
      </c>
      <c r="AU546" s="37" t="str">
        <f t="shared" si="302"/>
        <v>D3</v>
      </c>
      <c r="AW546" s="37" t="s">
        <v>74</v>
      </c>
      <c r="AX546" s="37" t="s">
        <v>270</v>
      </c>
      <c r="AY546" s="37" t="s">
        <v>90</v>
      </c>
      <c r="AZ546" s="37">
        <v>66</v>
      </c>
      <c r="BB546" s="43">
        <f>AZ546</f>
        <v>66</v>
      </c>
      <c r="BC546" s="43" t="str">
        <f>AW546</f>
        <v>9E</v>
      </c>
      <c r="BD546" s="43" t="str">
        <f t="shared" ref="BD546" si="314">AX546</f>
        <v>0C</v>
      </c>
      <c r="BE546" s="30" t="str">
        <f t="shared" ref="BE546" si="315">AY546</f>
        <v>EB</v>
      </c>
      <c r="BG546" s="31">
        <v>3</v>
      </c>
      <c r="BH546" s="32">
        <v>1</v>
      </c>
      <c r="BI546" s="32">
        <v>1</v>
      </c>
      <c r="BJ546" s="33">
        <v>2</v>
      </c>
      <c r="BK546" s="46"/>
      <c r="BL546" s="47" t="str">
        <f>DEC2HEX(_xlfn.BITXOR(_xlfn.BITXOR(_xlfn.BITXOR(HEX2DEC(IF(AND(BG546=3,BB536=0),DEC2HEX(_xlfn.BITXOR(BIN2DEC((RIGHT(HEX2BIN(BB543,8)&amp;LEFT(HEX2BIN($A$1,8),1),8))),HEX2DEC(BB543)),2),IF(AND(BG546=2,BB536=0),BIN2HEX(RIGHT(HEX2BIN(BB543,8)&amp;LEFT(HEX2BIN($A$1,8),1),8)),IF(AND(BG546=2,BB536=1),DEC2HEX(_xlfn.BITXOR(BIN2DEC(RIGHT(HEX2BIN(BB543,8)&amp;LEFT(HEX2BIN($A$1,8),1),8)),HEX2DEC($B$1))),IF(AND(BG546=3,BB536=1),DEC2HEX(_xlfn.BITXOR(_xlfn.BITXOR(BIN2DEC(RIGHT(HEX2BIN(BB543,8)&amp;LEFT(HEX2BIN($A$1,8),1),8)),HEX2DEC($B$1)),HEX2DEC(BB543))),BB543))))),HEX2DEC(IF(AND(BH546=3,BB537=0),DEC2HEX(_xlfn.BITXOR(BIN2DEC((RIGHT(HEX2BIN(BB544,8)&amp;LEFT(HEX2BIN($A$1,8),1),8))),HEX2DEC(BB544)),2),IF(AND(BH546=2,BB537=0),BIN2HEX(RIGHT(HEX2BIN(BB544,8)&amp;LEFT(HEX2BIN($A$1,8),1),8)),IF(AND(BH546=2,BB537=1),DEC2HEX(_xlfn.BITXOR(BIN2DEC(RIGHT(HEX2BIN(BB544,8)&amp;LEFT(HEX2BIN($A$1,8),1),8)),HEX2DEC($B$1))),IF(AND(BH546=3,BB537=1),DEC2HEX(_xlfn.BITXOR(_xlfn.BITXOR(BIN2DEC(RIGHT(HEX2BIN(BB544,8)&amp;LEFT(HEX2BIN($A$1,8),1),8)),HEX2DEC($B$1)),HEX2DEC(BB544))),BB544)))))),HEX2DEC(IF(AND(BI546=3,BB538=0),DEC2HEX(_xlfn.BITXOR(BIN2DEC((RIGHT(HEX2BIN(BB545,8)&amp;LEFT(HEX2BIN($A$1,8),1),8))),HEX2DEC(BB545)),2),IF(AND(BI546=2,BB538=0),BIN2HEX(RIGHT(HEX2BIN(BB545,8)&amp;LEFT(HEX2BIN($A$1,8),1),8)),IF(AND(BI546=2,BB538=1),DEC2HEX(_xlfn.BITXOR(BIN2DEC(RIGHT(HEX2BIN(BB545,8)&amp;LEFT(HEX2BIN($A$1,8),1),8)),HEX2DEC($B$1))),IF(AND(BI546=3,BB538=1),DEC2HEX(_xlfn.BITXOR(_xlfn.BITXOR(BIN2DEC(RIGHT(HEX2BIN(BB545,8)&amp;LEFT(HEX2BIN($A$1,8),1),8)),HEX2DEC($B$1)),HEX2DEC(BB545))),BB545)))))),HEX2DEC(IF(AND(BJ546=3,BB539=0),DEC2HEX(_xlfn.BITXOR(BIN2DEC((RIGHT(HEX2BIN(BB546,8)&amp;LEFT(HEX2BIN($A$1,8),1),8))),HEX2DEC(BB546)),2),IF(AND(BJ546=2,BB539=0),BIN2HEX(RIGHT(HEX2BIN(BB546,8)&amp;LEFT(HEX2BIN($A$1,8),1),8)),IF(AND(BJ546=2,BB539=1),DEC2HEX(_xlfn.BITXOR(BIN2DEC(RIGHT(HEX2BIN(BB546,8)&amp;LEFT(HEX2BIN($A$1,8),1),8)),HEX2DEC($B$1))),IF(AND(BJ546=3,BB539=1),DEC2HEX(_xlfn.BITXOR(_xlfn.BITXOR(BIN2DEC(RIGHT(HEX2BIN(BB546,8)&amp;LEFT(HEX2BIN($A$1,8),1),8)),HEX2DEC($B$1)),HEX2DEC(BB546))),BB546)))))))</f>
        <v>39</v>
      </c>
      <c r="BM546" s="47" t="str">
        <f>DEC2HEX(_xlfn.BITXOR(_xlfn.BITXOR(_xlfn.BITXOR(HEX2DEC(IF(AND(BG546=3,BC536=0),DEC2HEX(_xlfn.BITXOR(BIN2DEC((RIGHT(HEX2BIN(BC543,8)&amp;LEFT(HEX2BIN($A$1,8),1),8))),HEX2DEC(BC543)),2),IF(AND(BG546=2,BC536=0),BIN2HEX(RIGHT(HEX2BIN(BC543,8)&amp;LEFT(HEX2BIN($A$1,8),1),8)),IF(AND(BG546=2,BC536=1),DEC2HEX(_xlfn.BITXOR(BIN2DEC(RIGHT(HEX2BIN(BC543,8)&amp;LEFT(HEX2BIN($A$1,8),1),8)),HEX2DEC($B$1))),IF(AND(BG546=3,BC536=1),DEC2HEX(_xlfn.BITXOR(_xlfn.BITXOR(BIN2DEC(RIGHT(HEX2BIN(BC543,8)&amp;LEFT(HEX2BIN($A$1,8),1),8)),HEX2DEC($B$1)),HEX2DEC(BC543))),BC543))))),HEX2DEC(IF(AND(BH546=3,BC537=0),DEC2HEX(_xlfn.BITXOR(BIN2DEC((RIGHT(HEX2BIN(BC544,8)&amp;LEFT(HEX2BIN($A$1,8),1),8))),HEX2DEC(BC544)),2),IF(AND(BH546=2,BC537=0),BIN2HEX(RIGHT(HEX2BIN(BC544,8)&amp;LEFT(HEX2BIN($A$1,8),1),8)),IF(AND(BH546=2,BC537=1),DEC2HEX(_xlfn.BITXOR(BIN2DEC(RIGHT(HEX2BIN(BC544,8)&amp;LEFT(HEX2BIN($A$1,8),1),8)),HEX2DEC($B$1))),IF(AND(BH546=3,BC537=1),DEC2HEX(_xlfn.BITXOR(_xlfn.BITXOR(BIN2DEC(RIGHT(HEX2BIN(BC544,8)&amp;LEFT(HEX2BIN($A$1,8),1),8)),HEX2DEC($B$1)),HEX2DEC(BC544))),BC544)))))),HEX2DEC(IF(AND(BI546=3,BC538=0),DEC2HEX(_xlfn.BITXOR(BIN2DEC((RIGHT(HEX2BIN(BC545,8)&amp;LEFT(HEX2BIN($A$1,8),1),8))),HEX2DEC(BC545)),2),IF(AND(BI546=2,BC538=0),BIN2HEX(RIGHT(HEX2BIN(BC545,8)&amp;LEFT(HEX2BIN($A$1,8),1),8)),IF(AND(BI546=2,BC538=1),DEC2HEX(_xlfn.BITXOR(BIN2DEC(RIGHT(HEX2BIN(BC545,8)&amp;LEFT(HEX2BIN($A$1,8),1),8)),HEX2DEC($B$1))),IF(AND(BI546=3,BC538=1),DEC2HEX(_xlfn.BITXOR(_xlfn.BITXOR(BIN2DEC(RIGHT(HEX2BIN(BC545,8)&amp;LEFT(HEX2BIN($A$1,8),1),8)),HEX2DEC($B$1)),HEX2DEC(BC545))),BC545)))))),HEX2DEC(IF(AND(BJ546=3,BC539=0),DEC2HEX(_xlfn.BITXOR(BIN2DEC((RIGHT(HEX2BIN(BC546,8)&amp;LEFT(HEX2BIN($A$1,8),1),8))),HEX2DEC(BC546)),2),IF(AND(BJ546=2,BC539=0),BIN2HEX(RIGHT(HEX2BIN(BC546,8)&amp;LEFT(HEX2BIN($A$1,8),1),8)),IF(AND(BJ546=2,BC539=1),DEC2HEX(_xlfn.BITXOR(BIN2DEC(RIGHT(HEX2BIN(BC546,8)&amp;LEFT(HEX2BIN($A$1,8),1),8)),HEX2DEC($B$1))),IF(AND(BJ546=3,BC539=1),DEC2HEX(_xlfn.BITXOR(_xlfn.BITXOR(BIN2DEC(RIGHT(HEX2BIN(BC546,8)&amp;LEFT(HEX2BIN($A$1,8),1),8)),HEX2DEC($B$1)),HEX2DEC(BC546))),BC546)))))))</f>
        <v>60</v>
      </c>
      <c r="BN546" s="47" t="str">
        <f>DEC2HEX(_xlfn.BITXOR(_xlfn.BITXOR(_xlfn.BITXOR(HEX2DEC(IF(AND(BG546=3,BD536=0),DEC2HEX(_xlfn.BITXOR(BIN2DEC((RIGHT(HEX2BIN(BD543,8)&amp;LEFT(HEX2BIN($A$1,8),1),8))),HEX2DEC(BD543)),2),IF(AND(BG546=2,BD536=0),BIN2HEX(RIGHT(HEX2BIN(BD543,8)&amp;LEFT(HEX2BIN($A$1,8),1),8)),IF(AND(BG546=2,BD536=1),DEC2HEX(_xlfn.BITXOR(BIN2DEC(RIGHT(HEX2BIN(BD543,8)&amp;LEFT(HEX2BIN($A$1,8),1),8)),HEX2DEC($B$1))),IF(AND(BG546=3,BD536=1),DEC2HEX(_xlfn.BITXOR(_xlfn.BITXOR(BIN2DEC(RIGHT(HEX2BIN(BD543,8)&amp;LEFT(HEX2BIN($A$1,8),1),8)),HEX2DEC($B$1)),HEX2DEC(BD543))),BD543))))),HEX2DEC(IF(AND(BH546=3,BD537=0),DEC2HEX(_xlfn.BITXOR(BIN2DEC((RIGHT(HEX2BIN(BD544,8)&amp;LEFT(HEX2BIN($A$1,8),1),8))),HEX2DEC(BD544)),2),IF(AND(BH546=2,BD537=0),BIN2HEX(RIGHT(HEX2BIN(BD544,8)&amp;LEFT(HEX2BIN($A$1,8),1),8)),IF(AND(BH546=2,BD537=1),DEC2HEX(_xlfn.BITXOR(BIN2DEC(RIGHT(HEX2BIN(BD544,8)&amp;LEFT(HEX2BIN($A$1,8),1),8)),HEX2DEC($B$1))),IF(AND(BH546=3,BD537=1),DEC2HEX(_xlfn.BITXOR(_xlfn.BITXOR(BIN2DEC(RIGHT(HEX2BIN(BD544,8)&amp;LEFT(HEX2BIN($A$1,8),1),8)),HEX2DEC($B$1)),HEX2DEC(BD544))),BD544)))))),HEX2DEC(IF(AND(BI546=3,BD538=0),DEC2HEX(_xlfn.BITXOR(BIN2DEC((RIGHT(HEX2BIN(BD545,8)&amp;LEFT(HEX2BIN($A$1,8),1),8))),HEX2DEC(BD545)),2),IF(AND(BI546=2,BD538=0),BIN2HEX(RIGHT(HEX2BIN(BD545,8)&amp;LEFT(HEX2BIN($A$1,8),1),8)),IF(AND(BI546=2,BD538=1),DEC2HEX(_xlfn.BITXOR(BIN2DEC(RIGHT(HEX2BIN(BD545,8)&amp;LEFT(HEX2BIN($A$1,8),1),8)),HEX2DEC($B$1))),IF(AND(BI546=3,BD538=1),DEC2HEX(_xlfn.BITXOR(_xlfn.BITXOR(BIN2DEC(RIGHT(HEX2BIN(BD545,8)&amp;LEFT(HEX2BIN($A$1,8),1),8)),HEX2DEC($B$1)),HEX2DEC(BD545))),BD545)))))),HEX2DEC(IF(AND(BJ546=3,BD539=0),DEC2HEX(_xlfn.BITXOR(BIN2DEC((RIGHT(HEX2BIN(BD546,8)&amp;LEFT(HEX2BIN($A$1,8),1),8))),HEX2DEC(BD546)),2),IF(AND(BJ546=2,BD539=0),BIN2HEX(RIGHT(HEX2BIN(BD546,8)&amp;LEFT(HEX2BIN($A$1,8),1),8)),IF(AND(BJ546=2,BD539=1),DEC2HEX(_xlfn.BITXOR(BIN2DEC(RIGHT(HEX2BIN(BD546,8)&amp;LEFT(HEX2BIN($A$1,8),1),8)),HEX2DEC($B$1))),IF(AND(BJ546=3,BD539=1),DEC2HEX(_xlfn.BITXOR(_xlfn.BITXOR(BIN2DEC(RIGHT(HEX2BIN(BD546,8)&amp;LEFT(HEX2BIN($A$1,8),1),8)),HEX2DEC($B$1)),HEX2DEC(BD546))),BD546)))))))</f>
        <v>54</v>
      </c>
      <c r="BO546" s="47" t="str">
        <f>DEC2HEX(_xlfn.BITXOR(_xlfn.BITXOR(_xlfn.BITXOR(HEX2DEC(IF(AND(BG546=3,BE536=0),DEC2HEX(_xlfn.BITXOR(BIN2DEC((RIGHT(HEX2BIN(BE543,8)&amp;LEFT(HEX2BIN($A$1,8),1),8))),HEX2DEC(BE543)),2),IF(AND(BG546=2,BE536=0),BIN2HEX(RIGHT(HEX2BIN(BE543,8)&amp;LEFT(HEX2BIN($A$1,8),1),8)),IF(AND(BG546=2,BE536=1),DEC2HEX(_xlfn.BITXOR(BIN2DEC(RIGHT(HEX2BIN(BE543,8)&amp;LEFT(HEX2BIN($A$1,8),1),8)),HEX2DEC($B$1))),IF(AND(BG546=3,BE536=1),DEC2HEX(_xlfn.BITXOR(_xlfn.BITXOR(BIN2DEC(RIGHT(HEX2BIN(BE543,8)&amp;LEFT(HEX2BIN($A$1,8),1),8)),HEX2DEC($B$1)),HEX2DEC(BE543))),BE543))))),HEX2DEC(IF(AND(BH546=3,BE537=0),DEC2HEX(_xlfn.BITXOR(BIN2DEC((RIGHT(HEX2BIN(BE544,8)&amp;LEFT(HEX2BIN($A$1,8),1),8))),HEX2DEC(BE544)),2),IF(AND(BH546=2,BE537=0),BIN2HEX(RIGHT(HEX2BIN(BE544,8)&amp;LEFT(HEX2BIN($A$1,8),1),8)),IF(AND(BH546=2,BE537=1),DEC2HEX(_xlfn.BITXOR(BIN2DEC(RIGHT(HEX2BIN(BE544,8)&amp;LEFT(HEX2BIN($A$1,8),1),8)),HEX2DEC($B$1))),IF(AND(BH546=3,BE537=1),DEC2HEX(_xlfn.BITXOR(_xlfn.BITXOR(BIN2DEC(RIGHT(HEX2BIN(BE544,8)&amp;LEFT(HEX2BIN($A$1,8),1),8)),HEX2DEC($B$1)),HEX2DEC(BE544))),BE544)))))),HEX2DEC(IF(AND(BI546=3,BE538=0),DEC2HEX(_xlfn.BITXOR(BIN2DEC((RIGHT(HEX2BIN(BE545,8)&amp;LEFT(HEX2BIN($A$1,8),1),8))),HEX2DEC(BE545)),2),IF(AND(BI546=2,BE538=0),BIN2HEX(RIGHT(HEX2BIN(BE545,8)&amp;LEFT(HEX2BIN($A$1,8),1),8)),IF(AND(BI546=2,BE538=1),DEC2HEX(_xlfn.BITXOR(BIN2DEC(RIGHT(HEX2BIN(BE545,8)&amp;LEFT(HEX2BIN($A$1,8),1),8)),HEX2DEC($B$1))),IF(AND(BI546=3,BE538=1),DEC2HEX(_xlfn.BITXOR(_xlfn.BITXOR(BIN2DEC(RIGHT(HEX2BIN(BE545,8)&amp;LEFT(HEX2BIN($A$1,8),1),8)),HEX2DEC($B$1)),HEX2DEC(BE545))),BE545)))))),HEX2DEC(IF(AND(BJ546=3,BE539=0),DEC2HEX(_xlfn.BITXOR(BIN2DEC((RIGHT(HEX2BIN(BE546,8)&amp;LEFT(HEX2BIN($A$1,8),1),8))),HEX2DEC(BE546)),2),IF(AND(BJ546=2,BE539=0),BIN2HEX(RIGHT(HEX2BIN(BE546,8)&amp;LEFT(HEX2BIN($A$1,8),1),8)),IF(AND(BJ546=2,BE539=1),DEC2HEX(_xlfn.BITXOR(BIN2DEC(RIGHT(HEX2BIN(BE546,8)&amp;LEFT(HEX2BIN($A$1,8),1),8)),HEX2DEC($B$1))),IF(AND(BJ546=3,BE539=1),DEC2HEX(_xlfn.BITXOR(_xlfn.BITXOR(BIN2DEC(RIGHT(HEX2BIN(BE546,8)&amp;LEFT(HEX2BIN($A$1,8),1),8)),HEX2DEC($B$1)),HEX2DEC(BE546))),BE546)))))))</f>
        <v>7D</v>
      </c>
    </row>
    <row r="547" spans="2:67" x14ac:dyDescent="0.25">
      <c r="B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</row>
    <row r="548" spans="2:67" x14ac:dyDescent="0.25">
      <c r="B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</row>
    <row r="549" spans="2:67" x14ac:dyDescent="0.25">
      <c r="B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</row>
    <row r="550" spans="2:67" x14ac:dyDescent="0.25">
      <c r="B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</row>
    <row r="551" spans="2:67" x14ac:dyDescent="0.25">
      <c r="B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</row>
    <row r="552" spans="2:67" x14ac:dyDescent="0.25">
      <c r="B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</row>
    <row r="553" spans="2:67" x14ac:dyDescent="0.25">
      <c r="B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</row>
    <row r="554" spans="2:67" x14ac:dyDescent="0.25">
      <c r="B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</row>
    <row r="555" spans="2:67" x14ac:dyDescent="0.25">
      <c r="B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</row>
    <row r="556" spans="2:67" x14ac:dyDescent="0.25">
      <c r="B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</row>
    <row r="557" spans="2:67" x14ac:dyDescent="0.25">
      <c r="B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</row>
    <row r="558" spans="2:67" x14ac:dyDescent="0.25">
      <c r="B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</row>
    <row r="559" spans="2:67" x14ac:dyDescent="0.25">
      <c r="B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</row>
    <row r="560" spans="2:67" x14ac:dyDescent="0.25">
      <c r="B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</row>
    <row r="561" spans="2:68" x14ac:dyDescent="0.25">
      <c r="B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</row>
    <row r="562" spans="2:68" x14ac:dyDescent="0.25">
      <c r="B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</row>
    <row r="563" spans="2:68" x14ac:dyDescent="0.25">
      <c r="B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</row>
    <row r="564" spans="2:68" x14ac:dyDescent="0.25">
      <c r="B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</row>
    <row r="565" spans="2:68" x14ac:dyDescent="0.25">
      <c r="B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</row>
    <row r="566" spans="2:68" x14ac:dyDescent="0.25">
      <c r="B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</row>
    <row r="567" spans="2:68" x14ac:dyDescent="0.25">
      <c r="B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</row>
    <row r="568" spans="2:68" x14ac:dyDescent="0.25">
      <c r="B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</row>
    <row r="569" spans="2:68" x14ac:dyDescent="0.25">
      <c r="B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</row>
    <row r="570" spans="2:68" x14ac:dyDescent="0.25">
      <c r="B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</row>
    <row r="571" spans="2:68" x14ac:dyDescent="0.25">
      <c r="B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</row>
    <row r="572" spans="2:68" x14ac:dyDescent="0.25">
      <c r="B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</row>
    <row r="573" spans="2:68" x14ac:dyDescent="0.25">
      <c r="B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</row>
    <row r="574" spans="2:68" x14ac:dyDescent="0.25">
      <c r="B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</row>
    <row r="575" spans="2:68" x14ac:dyDescent="0.25">
      <c r="B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  <c r="BM575" s="11"/>
      <c r="BN575" s="11"/>
      <c r="BO575" s="11"/>
      <c r="BP575" s="11"/>
    </row>
    <row r="576" spans="2:68" x14ac:dyDescent="0.25">
      <c r="B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  <c r="BM576" s="11"/>
      <c r="BN576" s="11"/>
      <c r="BO576" s="11"/>
      <c r="BP576" s="11"/>
    </row>
    <row r="577" spans="2:68" x14ac:dyDescent="0.25">
      <c r="B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  <c r="BM577" s="11"/>
      <c r="BN577" s="11"/>
      <c r="BO577" s="11"/>
      <c r="BP577" s="11"/>
    </row>
    <row r="578" spans="2:68" x14ac:dyDescent="0.25">
      <c r="B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  <c r="BM578" s="11"/>
      <c r="BN578" s="11"/>
      <c r="BO578" s="11"/>
      <c r="BP578" s="11"/>
    </row>
    <row r="579" spans="2:68" x14ac:dyDescent="0.25">
      <c r="B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  <c r="BM579" s="11"/>
      <c r="BN579" s="11"/>
      <c r="BO579" s="11"/>
      <c r="BP579" s="11"/>
    </row>
    <row r="580" spans="2:68" x14ac:dyDescent="0.25">
      <c r="B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  <c r="BM580" s="11"/>
      <c r="BN580" s="11"/>
      <c r="BO580" s="11"/>
      <c r="BP580" s="11"/>
    </row>
    <row r="581" spans="2:68" x14ac:dyDescent="0.25">
      <c r="B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  <c r="BM581" s="11"/>
      <c r="BN581" s="11"/>
      <c r="BO581" s="11"/>
      <c r="BP581" s="11"/>
    </row>
    <row r="582" spans="2:68" ht="15.75" x14ac:dyDescent="0.25">
      <c r="B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H582" s="76" t="s">
        <v>286</v>
      </c>
      <c r="AW582" s="117"/>
      <c r="AX582" s="117"/>
      <c r="AY582" s="117"/>
      <c r="AZ582" s="117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  <c r="BM582" s="11"/>
      <c r="BN582" s="11"/>
      <c r="BO582" s="11"/>
      <c r="BP582" s="11"/>
    </row>
    <row r="583" spans="2:68" x14ac:dyDescent="0.25">
      <c r="B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  <c r="BM583" s="11"/>
      <c r="BN583" s="11"/>
      <c r="BO583" s="11"/>
      <c r="BP583" s="11"/>
    </row>
    <row r="584" spans="2:68" x14ac:dyDescent="0.25">
      <c r="B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H584" s="116" t="s">
        <v>258</v>
      </c>
      <c r="AI584" s="116"/>
      <c r="AJ584" s="116"/>
      <c r="AK584" s="116"/>
      <c r="AR584" s="116" t="s">
        <v>221</v>
      </c>
      <c r="AS584" s="116"/>
      <c r="AT584" s="116"/>
      <c r="AU584" s="116"/>
      <c r="AW584" s="117"/>
      <c r="AX584" s="117"/>
      <c r="AY584" s="117"/>
      <c r="AZ584" s="117"/>
      <c r="BA584" s="11"/>
      <c r="BB584" s="117"/>
      <c r="BC584" s="117"/>
      <c r="BD584" s="117"/>
      <c r="BE584" s="117"/>
      <c r="BF584" s="11"/>
      <c r="BG584" s="11"/>
      <c r="BH584" s="11"/>
      <c r="BI584" s="11"/>
      <c r="BJ584" s="11"/>
      <c r="BK584" s="11"/>
      <c r="BL584" s="117"/>
      <c r="BM584" s="117"/>
      <c r="BN584" s="117"/>
      <c r="BO584" s="117"/>
      <c r="BP584" s="11"/>
    </row>
    <row r="585" spans="2:68" x14ac:dyDescent="0.25">
      <c r="B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H585" s="14" t="str">
        <f>H39</f>
        <v>9</v>
      </c>
      <c r="AI585" s="14" t="str">
        <f>K39</f>
        <v>1B</v>
      </c>
      <c r="AJ585" s="14" t="str">
        <f>N39</f>
        <v>A</v>
      </c>
      <c r="AK585" s="14" t="str">
        <f>Q39</f>
        <v>30</v>
      </c>
      <c r="AM585" s="1" t="str">
        <f>BB543</f>
        <v>BE</v>
      </c>
      <c r="AN585" s="74" t="str">
        <f t="shared" ref="AN585:AP588" si="316">BC543</f>
        <v>CE</v>
      </c>
      <c r="AO585" s="74">
        <f t="shared" si="316"/>
        <v>14</v>
      </c>
      <c r="AP585" s="74" t="str">
        <f t="shared" si="316"/>
        <v>9B</v>
      </c>
      <c r="AR585" s="42" t="str">
        <f>DEC2HEX(_xlfn.BITXOR(HEX2DEC(AH585),HEX2DEC(AM585)))</f>
        <v>B7</v>
      </c>
      <c r="AS585" s="42" t="str">
        <f t="shared" ref="AS585:AS588" si="317">DEC2HEX(_xlfn.BITXOR(HEX2DEC(AI585),HEX2DEC(AN585)))</f>
        <v>D5</v>
      </c>
      <c r="AT585" s="42" t="str">
        <f t="shared" ref="AT585:AT588" si="318">DEC2HEX(_xlfn.BITXOR(HEX2DEC(AJ585),HEX2DEC(AO585)))</f>
        <v>1E</v>
      </c>
      <c r="AU585" s="42" t="str">
        <f t="shared" ref="AU585:AU588" si="319">DEC2HEX(_xlfn.BITXOR(HEX2DEC(AK585),HEX2DEC(AP585)))</f>
        <v>AB</v>
      </c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34"/>
      <c r="BH585" s="34"/>
      <c r="BI585" s="34"/>
      <c r="BJ585" s="34"/>
      <c r="BK585" s="11"/>
      <c r="BL585" s="11"/>
      <c r="BM585" s="11"/>
      <c r="BN585" s="34"/>
      <c r="BO585" s="11"/>
      <c r="BP585" s="11"/>
    </row>
    <row r="586" spans="2:68" x14ac:dyDescent="0.25">
      <c r="B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H586" s="14" t="str">
        <f t="shared" ref="AH586:AH588" si="320">H40</f>
        <v>D9</v>
      </c>
      <c r="AI586" s="14" t="str">
        <f t="shared" ref="AI586:AI588" si="321">K40</f>
        <v>E6</v>
      </c>
      <c r="AJ586" s="14" t="str">
        <f t="shared" ref="AJ586:AJ588" si="322">N40</f>
        <v>7E</v>
      </c>
      <c r="AK586" s="14" t="str">
        <f t="shared" ref="AK586:AK588" si="323">Q40</f>
        <v>63</v>
      </c>
      <c r="AM586" s="74" t="str">
        <f t="shared" ref="AM586:AM588" si="324">BB544</f>
        <v>A1</v>
      </c>
      <c r="AN586" s="74">
        <f t="shared" si="316"/>
        <v>83</v>
      </c>
      <c r="AO586" s="74">
        <f t="shared" si="316"/>
        <v>26</v>
      </c>
      <c r="AP586" s="74" t="str">
        <f t="shared" si="316"/>
        <v>DF</v>
      </c>
      <c r="AR586" s="42" t="str">
        <f t="shared" ref="AR586:AR588" si="325">DEC2HEX(_xlfn.BITXOR(HEX2DEC(AH586),HEX2DEC(AM586)))</f>
        <v>78</v>
      </c>
      <c r="AS586" s="42" t="str">
        <f t="shared" si="317"/>
        <v>65</v>
      </c>
      <c r="AT586" s="42" t="str">
        <f t="shared" si="318"/>
        <v>58</v>
      </c>
      <c r="AU586" s="42" t="str">
        <f t="shared" si="319"/>
        <v>BC</v>
      </c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34"/>
      <c r="BH586" s="34"/>
      <c r="BI586" s="34"/>
      <c r="BJ586" s="34"/>
      <c r="BK586" s="11"/>
      <c r="BL586" s="11"/>
      <c r="BM586" s="11"/>
      <c r="BN586" s="11"/>
      <c r="BO586" s="11"/>
      <c r="BP586" s="11"/>
    </row>
    <row r="587" spans="2:68" x14ac:dyDescent="0.25">
      <c r="B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H587" s="14" t="str">
        <f t="shared" si="320"/>
        <v>73</v>
      </c>
      <c r="AI587" s="14" t="str">
        <f t="shared" si="321"/>
        <v>F3</v>
      </c>
      <c r="AJ587" s="14" t="str">
        <f t="shared" si="322"/>
        <v>36</v>
      </c>
      <c r="AK587" s="14" t="str">
        <f t="shared" si="323"/>
        <v>8</v>
      </c>
      <c r="AM587" s="74" t="str">
        <f t="shared" si="324"/>
        <v>8D</v>
      </c>
      <c r="AN587" s="74" t="str">
        <f t="shared" si="316"/>
        <v>8D</v>
      </c>
      <c r="AO587" s="74">
        <f t="shared" si="316"/>
        <v>56</v>
      </c>
      <c r="AP587" s="74" t="str">
        <f t="shared" si="316"/>
        <v>D9</v>
      </c>
      <c r="AR587" s="42" t="str">
        <f t="shared" si="325"/>
        <v>FE</v>
      </c>
      <c r="AS587" s="42" t="str">
        <f t="shared" si="317"/>
        <v>7E</v>
      </c>
      <c r="AT587" s="42" t="str">
        <f t="shared" si="318"/>
        <v>60</v>
      </c>
      <c r="AU587" s="42" t="str">
        <f t="shared" si="319"/>
        <v>D1</v>
      </c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34"/>
      <c r="BH587" s="34"/>
      <c r="BI587" s="34"/>
      <c r="BJ587" s="34"/>
      <c r="BK587" s="11"/>
      <c r="BL587" s="11"/>
      <c r="BM587" s="11"/>
      <c r="BN587" s="11"/>
      <c r="BO587" s="11"/>
      <c r="BP587" s="11"/>
    </row>
    <row r="588" spans="2:68" x14ac:dyDescent="0.25">
      <c r="B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H588" s="14" t="str">
        <f t="shared" si="320"/>
        <v>4B</v>
      </c>
      <c r="AI588" s="14" t="str">
        <f t="shared" si="321"/>
        <v>E8</v>
      </c>
      <c r="AJ588" s="14" t="str">
        <f t="shared" si="322"/>
        <v>F9</v>
      </c>
      <c r="AK588" s="14" t="str">
        <f t="shared" si="323"/>
        <v>FA</v>
      </c>
      <c r="AM588" s="74">
        <f t="shared" si="324"/>
        <v>66</v>
      </c>
      <c r="AN588" s="74" t="str">
        <f t="shared" si="316"/>
        <v>9E</v>
      </c>
      <c r="AO588" s="74" t="str">
        <f t="shared" si="316"/>
        <v>0C</v>
      </c>
      <c r="AP588" s="74" t="str">
        <f t="shared" si="316"/>
        <v>EB</v>
      </c>
      <c r="AR588" s="42" t="str">
        <f t="shared" si="325"/>
        <v>2D</v>
      </c>
      <c r="AS588" s="42" t="str">
        <f t="shared" si="317"/>
        <v>76</v>
      </c>
      <c r="AT588" s="42" t="str">
        <f t="shared" si="318"/>
        <v>F5</v>
      </c>
      <c r="AU588" s="42" t="str">
        <f t="shared" si="319"/>
        <v>11</v>
      </c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34"/>
      <c r="BH588" s="34"/>
      <c r="BI588" s="34"/>
      <c r="BJ588" s="34"/>
      <c r="BK588" s="11"/>
      <c r="BL588" s="11"/>
      <c r="BM588" s="11"/>
      <c r="BN588" s="11"/>
      <c r="BO588" s="11"/>
      <c r="BP588" s="11"/>
    </row>
    <row r="589" spans="2:68" x14ac:dyDescent="0.25">
      <c r="B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  <c r="BM589" s="11"/>
      <c r="BN589" s="11"/>
      <c r="BO589" s="11"/>
      <c r="BP589" s="11"/>
    </row>
    <row r="590" spans="2:68" x14ac:dyDescent="0.25">
      <c r="B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  <c r="BM590" s="11"/>
      <c r="BN590" s="11"/>
      <c r="BO590" s="11"/>
      <c r="BP590" s="11"/>
    </row>
    <row r="591" spans="2:68" x14ac:dyDescent="0.25">
      <c r="B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  <c r="BM591" s="11"/>
      <c r="BN591" s="11"/>
      <c r="BO591" s="11"/>
      <c r="BP591" s="11"/>
    </row>
    <row r="592" spans="2:68" x14ac:dyDescent="0.25">
      <c r="B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  <c r="BM592" s="11"/>
      <c r="BN592" s="11"/>
      <c r="BO592" s="11"/>
      <c r="BP592" s="11"/>
    </row>
    <row r="593" spans="2:68" x14ac:dyDescent="0.25">
      <c r="B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  <c r="BM593" s="11"/>
      <c r="BN593" s="11"/>
      <c r="BO593" s="11"/>
      <c r="BP593" s="11"/>
    </row>
    <row r="594" spans="2:68" x14ac:dyDescent="0.25">
      <c r="B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  <c r="BM594" s="11"/>
      <c r="BN594" s="11"/>
      <c r="BO594" s="11"/>
      <c r="BP594" s="11"/>
    </row>
    <row r="595" spans="2:68" x14ac:dyDescent="0.25">
      <c r="B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  <c r="BM595" s="11"/>
      <c r="BN595" s="11"/>
      <c r="BO595" s="11"/>
      <c r="BP595" s="11"/>
    </row>
    <row r="596" spans="2:68" x14ac:dyDescent="0.25">
      <c r="B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Q596" s="75" t="s">
        <v>289</v>
      </c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  <c r="BM596" s="11"/>
      <c r="BN596" s="11"/>
      <c r="BO596" s="11"/>
      <c r="BP596" s="11"/>
    </row>
    <row r="597" spans="2:68" x14ac:dyDescent="0.25">
      <c r="B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  <c r="BM597" s="11"/>
      <c r="BN597" s="11"/>
      <c r="BO597" s="11"/>
      <c r="BP597" s="11"/>
    </row>
    <row r="598" spans="2:68" x14ac:dyDescent="0.25">
      <c r="B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  <c r="BM598" s="11"/>
      <c r="BN598" s="11"/>
      <c r="BO598" s="11"/>
      <c r="BP598" s="11"/>
    </row>
    <row r="599" spans="2:68" x14ac:dyDescent="0.25">
      <c r="B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  <c r="BM599" s="11"/>
      <c r="BN599" s="11"/>
      <c r="BO599" s="11"/>
      <c r="BP599" s="11"/>
    </row>
    <row r="600" spans="2:68" x14ac:dyDescent="0.25">
      <c r="B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  <c r="BM600" s="11"/>
      <c r="BN600" s="11"/>
      <c r="BO600" s="11"/>
      <c r="BP600" s="11"/>
    </row>
    <row r="601" spans="2:68" x14ac:dyDescent="0.25">
      <c r="B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</row>
    <row r="602" spans="2:68" x14ac:dyDescent="0.25">
      <c r="B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</row>
    <row r="603" spans="2:68" x14ac:dyDescent="0.25">
      <c r="B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</row>
    <row r="604" spans="2:68" x14ac:dyDescent="0.25">
      <c r="B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</row>
    <row r="605" spans="2:68" x14ac:dyDescent="0.25">
      <c r="B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</row>
    <row r="606" spans="2:68" x14ac:dyDescent="0.25">
      <c r="B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</row>
    <row r="607" spans="2:68" x14ac:dyDescent="0.25">
      <c r="B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</row>
    <row r="608" spans="2:68" x14ac:dyDescent="0.25">
      <c r="B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</row>
    <row r="609" spans="2:54" x14ac:dyDescent="0.25">
      <c r="B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</row>
    <row r="610" spans="2:54" x14ac:dyDescent="0.25">
      <c r="B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</row>
    <row r="611" spans="2:54" x14ac:dyDescent="0.25">
      <c r="B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</row>
    <row r="612" spans="2:54" x14ac:dyDescent="0.25">
      <c r="B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</row>
    <row r="613" spans="2:54" x14ac:dyDescent="0.25">
      <c r="B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</row>
    <row r="614" spans="2:54" x14ac:dyDescent="0.25">
      <c r="B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</row>
    <row r="615" spans="2:54" x14ac:dyDescent="0.25">
      <c r="B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</row>
    <row r="616" spans="2:54" x14ac:dyDescent="0.25">
      <c r="B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</row>
    <row r="617" spans="2:54" x14ac:dyDescent="0.25">
      <c r="B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</row>
    <row r="618" spans="2:54" x14ac:dyDescent="0.25">
      <c r="B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115"/>
      <c r="AG618" s="115"/>
      <c r="AH618" s="115"/>
      <c r="AI618" s="115"/>
      <c r="AJ618" s="115"/>
      <c r="AK618" s="115"/>
      <c r="AL618" s="115"/>
      <c r="AM618" s="115"/>
      <c r="AN618" s="115"/>
      <c r="AO618" s="115"/>
      <c r="AP618" s="115"/>
      <c r="AQ618" s="115"/>
      <c r="AR618" s="115"/>
      <c r="AS618" s="115"/>
      <c r="AT618" s="115"/>
      <c r="AU618" s="115"/>
      <c r="AV618" s="115"/>
      <c r="AW618" s="115"/>
      <c r="AX618" s="115"/>
      <c r="AY618" s="115"/>
      <c r="AZ618" s="115"/>
      <c r="BA618" s="115"/>
      <c r="BB618" s="115"/>
    </row>
    <row r="619" spans="2:54" x14ac:dyDescent="0.25">
      <c r="B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115"/>
      <c r="AG619" s="115"/>
      <c r="AH619" s="115"/>
      <c r="AI619" s="115"/>
      <c r="AJ619" s="115"/>
      <c r="AK619" s="115"/>
      <c r="AL619" s="115"/>
      <c r="AM619" s="115"/>
      <c r="AN619" s="115"/>
      <c r="AO619" s="115"/>
      <c r="AP619" s="115"/>
      <c r="AQ619" s="115"/>
      <c r="AR619" s="115"/>
      <c r="AS619" s="115"/>
      <c r="AT619" s="115"/>
      <c r="AU619" s="115"/>
      <c r="AV619" s="115"/>
      <c r="AW619" s="115"/>
      <c r="AX619" s="115"/>
      <c r="AY619" s="115"/>
      <c r="AZ619" s="115"/>
      <c r="BA619" s="115"/>
      <c r="BB619" s="115"/>
    </row>
    <row r="620" spans="2:54" x14ac:dyDescent="0.25">
      <c r="B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115"/>
      <c r="AG620" s="115"/>
      <c r="AH620" s="115"/>
      <c r="AI620" s="115"/>
      <c r="AJ620" s="115"/>
      <c r="AK620" s="115"/>
      <c r="AL620" s="115"/>
      <c r="AM620" s="115"/>
      <c r="AN620" s="115"/>
      <c r="AO620" s="115"/>
      <c r="AP620" s="115"/>
      <c r="AQ620" s="115"/>
      <c r="AR620" s="115"/>
      <c r="AS620" s="115"/>
      <c r="AT620" s="115"/>
      <c r="AU620" s="115"/>
      <c r="AV620" s="115"/>
      <c r="AW620" s="115"/>
      <c r="AX620" s="115"/>
      <c r="AY620" s="115"/>
      <c r="AZ620" s="115"/>
      <c r="BA620" s="115"/>
      <c r="BB620" s="115"/>
    </row>
    <row r="621" spans="2:54" x14ac:dyDescent="0.25">
      <c r="B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115"/>
      <c r="AG621" s="115"/>
      <c r="AH621" s="115"/>
      <c r="AI621" s="115"/>
      <c r="AJ621" s="115"/>
      <c r="AK621" s="115"/>
      <c r="AL621" s="115"/>
      <c r="AM621" s="115"/>
      <c r="AN621" s="115"/>
      <c r="AO621" s="115"/>
      <c r="AP621" s="115"/>
      <c r="AQ621" s="115"/>
      <c r="AR621" s="115"/>
      <c r="AS621" s="115"/>
      <c r="AT621" s="115"/>
      <c r="AU621" s="115"/>
      <c r="AV621" s="115"/>
      <c r="AW621" s="115"/>
      <c r="AX621" s="115"/>
      <c r="AY621" s="115"/>
      <c r="AZ621" s="115"/>
      <c r="BA621" s="115"/>
      <c r="BB621" s="115"/>
    </row>
    <row r="622" spans="2:54" x14ac:dyDescent="0.25">
      <c r="B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115"/>
      <c r="AG622" s="115"/>
      <c r="AH622" s="115"/>
      <c r="AI622" s="115"/>
      <c r="AJ622" s="115"/>
      <c r="AK622" s="115"/>
      <c r="AL622" s="115"/>
      <c r="AM622" s="115"/>
      <c r="AN622" s="115"/>
      <c r="AO622" s="115"/>
      <c r="AP622" s="115"/>
      <c r="AQ622" s="115"/>
      <c r="AR622" s="115"/>
      <c r="AS622" s="115"/>
      <c r="AT622" s="115"/>
      <c r="AU622" s="115"/>
      <c r="AV622" s="115"/>
      <c r="AW622" s="115"/>
      <c r="AX622" s="115"/>
      <c r="AY622" s="115"/>
      <c r="AZ622" s="115"/>
      <c r="BA622" s="115"/>
      <c r="BB622" s="115"/>
    </row>
    <row r="623" spans="2:54" x14ac:dyDescent="0.25">
      <c r="B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115"/>
      <c r="AG623" s="115"/>
      <c r="AH623" s="115"/>
      <c r="AI623" s="115"/>
      <c r="AJ623" s="115"/>
      <c r="AK623" s="115"/>
      <c r="AL623" s="115"/>
      <c r="AM623" s="115"/>
      <c r="AN623" s="115"/>
      <c r="AO623" s="115"/>
      <c r="AP623" s="115"/>
      <c r="AQ623" s="115"/>
      <c r="AR623" s="115"/>
      <c r="AS623" s="115"/>
      <c r="AT623" s="115"/>
      <c r="AU623" s="115"/>
      <c r="AV623" s="115"/>
      <c r="AW623" s="115"/>
      <c r="AX623" s="115"/>
      <c r="AY623" s="115"/>
      <c r="AZ623" s="115"/>
      <c r="BA623" s="115"/>
      <c r="BB623" s="115"/>
    </row>
    <row r="624" spans="2:54" ht="15.75" x14ac:dyDescent="0.25">
      <c r="B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115"/>
      <c r="AG624" s="115"/>
      <c r="AH624" s="123"/>
      <c r="AI624" s="115"/>
      <c r="AJ624" s="115"/>
      <c r="AK624" s="115"/>
      <c r="AL624" s="115"/>
      <c r="AM624" s="115"/>
      <c r="AN624" s="115"/>
      <c r="AO624" s="115"/>
      <c r="AP624" s="115"/>
      <c r="AQ624" s="115"/>
      <c r="AR624" s="115"/>
      <c r="AS624" s="115"/>
      <c r="AT624" s="115"/>
      <c r="AU624" s="115"/>
      <c r="AV624" s="115"/>
      <c r="AW624" s="115"/>
      <c r="AX624" s="115"/>
      <c r="AY624" s="115"/>
      <c r="AZ624" s="115"/>
      <c r="BA624" s="115"/>
      <c r="BB624" s="115"/>
    </row>
    <row r="625" spans="2:54" x14ac:dyDescent="0.25">
      <c r="B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115"/>
      <c r="AG625" s="115"/>
      <c r="AH625" s="115"/>
      <c r="AI625" s="115"/>
      <c r="AJ625" s="115"/>
      <c r="AK625" s="115"/>
      <c r="AL625" s="115"/>
      <c r="AM625" s="115"/>
      <c r="AN625" s="115"/>
      <c r="AO625" s="115"/>
      <c r="AP625" s="115"/>
      <c r="AQ625" s="115"/>
      <c r="AR625" s="115"/>
      <c r="AS625" s="115"/>
      <c r="AT625" s="115"/>
      <c r="AU625" s="115"/>
      <c r="AV625" s="115"/>
      <c r="AW625" s="115"/>
      <c r="AX625" s="115"/>
      <c r="AY625" s="115"/>
      <c r="AZ625" s="115"/>
      <c r="BA625" s="115"/>
      <c r="BB625" s="115"/>
    </row>
    <row r="626" spans="2:54" x14ac:dyDescent="0.25">
      <c r="B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115"/>
      <c r="AG626" s="115"/>
      <c r="AH626" s="117"/>
      <c r="AI626" s="117"/>
      <c r="AJ626" s="117"/>
      <c r="AK626" s="117"/>
      <c r="AL626" s="115"/>
      <c r="AM626" s="115"/>
      <c r="AN626" s="115"/>
      <c r="AO626" s="115"/>
      <c r="AP626" s="115"/>
      <c r="AQ626" s="115"/>
      <c r="AR626" s="117"/>
      <c r="AS626" s="117"/>
      <c r="AT626" s="117"/>
      <c r="AU626" s="117"/>
      <c r="AV626" s="115"/>
      <c r="AW626" s="115"/>
      <c r="AX626" s="115"/>
      <c r="AY626" s="115"/>
      <c r="AZ626" s="115"/>
      <c r="BA626" s="115"/>
      <c r="BB626" s="115"/>
    </row>
    <row r="627" spans="2:54" x14ac:dyDescent="0.25">
      <c r="B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115"/>
      <c r="AG627" s="115"/>
      <c r="AH627" s="115"/>
      <c r="AI627" s="115"/>
      <c r="AJ627" s="115"/>
      <c r="AK627" s="115"/>
      <c r="AL627" s="115"/>
      <c r="AM627" s="115"/>
      <c r="AN627" s="115"/>
      <c r="AO627" s="115"/>
      <c r="AP627" s="115"/>
      <c r="AQ627" s="115"/>
      <c r="AR627" s="115"/>
      <c r="AS627" s="115"/>
      <c r="AT627" s="115"/>
      <c r="AU627" s="115"/>
      <c r="AV627" s="115"/>
      <c r="AW627" s="115"/>
      <c r="AX627" s="115"/>
      <c r="AY627" s="115"/>
      <c r="AZ627" s="115"/>
      <c r="BA627" s="115"/>
      <c r="BB627" s="115"/>
    </row>
    <row r="628" spans="2:54" x14ac:dyDescent="0.25">
      <c r="B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115"/>
      <c r="AG628" s="115"/>
      <c r="AH628" s="115"/>
      <c r="AI628" s="115"/>
      <c r="AJ628" s="115"/>
      <c r="AK628" s="115"/>
      <c r="AL628" s="115"/>
      <c r="AM628" s="115"/>
      <c r="AN628" s="115"/>
      <c r="AO628" s="115"/>
      <c r="AP628" s="115"/>
      <c r="AQ628" s="115"/>
      <c r="AR628" s="115"/>
      <c r="AS628" s="115"/>
      <c r="AT628" s="115"/>
      <c r="AU628" s="115"/>
      <c r="AV628" s="115"/>
      <c r="AW628" s="115"/>
      <c r="AX628" s="115"/>
      <c r="AY628" s="115"/>
      <c r="AZ628" s="115"/>
      <c r="BA628" s="115"/>
      <c r="BB628" s="115"/>
    </row>
    <row r="629" spans="2:54" x14ac:dyDescent="0.25">
      <c r="B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115"/>
      <c r="AG629" s="115"/>
      <c r="AH629" s="115"/>
      <c r="AI629" s="115"/>
      <c r="AJ629" s="115"/>
      <c r="AK629" s="115"/>
      <c r="AL629" s="115"/>
      <c r="AM629" s="115"/>
      <c r="AN629" s="115"/>
      <c r="AO629" s="115"/>
      <c r="AP629" s="115"/>
      <c r="AQ629" s="115"/>
      <c r="AR629" s="115"/>
      <c r="AS629" s="115"/>
      <c r="AT629" s="115"/>
      <c r="AU629" s="115"/>
      <c r="AV629" s="115"/>
      <c r="AW629" s="115"/>
      <c r="AX629" s="115"/>
      <c r="AY629" s="115"/>
      <c r="AZ629" s="115"/>
      <c r="BA629" s="115"/>
      <c r="BB629" s="115"/>
    </row>
    <row r="630" spans="2:54" x14ac:dyDescent="0.25">
      <c r="B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115"/>
      <c r="AG630" s="115"/>
      <c r="AH630" s="115"/>
      <c r="AI630" s="115"/>
      <c r="AJ630" s="115"/>
      <c r="AK630" s="115"/>
      <c r="AL630" s="115"/>
      <c r="AM630" s="115"/>
      <c r="AN630" s="115"/>
      <c r="AO630" s="115"/>
      <c r="AP630" s="115"/>
      <c r="AQ630" s="115"/>
      <c r="AR630" s="115"/>
      <c r="AS630" s="115"/>
      <c r="AT630" s="115"/>
      <c r="AU630" s="115"/>
      <c r="AV630" s="115"/>
      <c r="AW630" s="115"/>
      <c r="AX630" s="115"/>
      <c r="AY630" s="115"/>
      <c r="AZ630" s="115"/>
      <c r="BA630" s="115"/>
      <c r="BB630" s="115"/>
    </row>
    <row r="631" spans="2:54" x14ac:dyDescent="0.25">
      <c r="AF631" s="115"/>
      <c r="AG631" s="115"/>
      <c r="AH631" s="115"/>
      <c r="AI631" s="115"/>
      <c r="AJ631" s="115"/>
      <c r="AK631" s="115"/>
      <c r="AL631" s="115"/>
      <c r="AM631" s="115"/>
      <c r="AN631" s="115"/>
      <c r="AO631" s="115"/>
      <c r="AP631" s="115"/>
      <c r="AQ631" s="115"/>
      <c r="AR631" s="115"/>
      <c r="AS631" s="115"/>
      <c r="AT631" s="115"/>
      <c r="AU631" s="115"/>
      <c r="AV631" s="115"/>
      <c r="AW631" s="115"/>
      <c r="AX631" s="115"/>
      <c r="AY631" s="115"/>
      <c r="AZ631" s="115"/>
      <c r="BA631" s="115"/>
      <c r="BB631" s="115"/>
    </row>
    <row r="632" spans="2:54" x14ac:dyDescent="0.25">
      <c r="AF632" s="115"/>
      <c r="AG632" s="115"/>
      <c r="AH632" s="115"/>
      <c r="AI632" s="115"/>
      <c r="AJ632" s="115"/>
      <c r="AK632" s="115"/>
      <c r="AL632" s="115"/>
      <c r="AM632" s="115"/>
      <c r="AN632" s="115"/>
      <c r="AO632" s="115"/>
      <c r="AP632" s="115"/>
      <c r="AQ632" s="115"/>
      <c r="AR632" s="115"/>
      <c r="AS632" s="115"/>
      <c r="AT632" s="115"/>
      <c r="AU632" s="115"/>
      <c r="AV632" s="115"/>
      <c r="AW632" s="115"/>
      <c r="AX632" s="115"/>
      <c r="AY632" s="115"/>
      <c r="AZ632" s="115"/>
      <c r="BA632" s="115"/>
      <c r="BB632" s="115"/>
    </row>
    <row r="633" spans="2:54" x14ac:dyDescent="0.25">
      <c r="AF633" s="115"/>
      <c r="AG633" s="115"/>
      <c r="AH633" s="115"/>
      <c r="AI633" s="115"/>
      <c r="AJ633" s="115"/>
      <c r="AK633" s="115"/>
      <c r="AL633" s="115"/>
      <c r="AM633" s="115"/>
      <c r="AN633" s="115"/>
      <c r="AO633" s="115"/>
      <c r="AP633" s="115"/>
      <c r="AQ633" s="115"/>
      <c r="AR633" s="115"/>
      <c r="AS633" s="115"/>
      <c r="AT633" s="115"/>
      <c r="AU633" s="115"/>
      <c r="AV633" s="115"/>
      <c r="AW633" s="115"/>
      <c r="AX633" s="115"/>
      <c r="AY633" s="115"/>
      <c r="AZ633" s="115"/>
      <c r="BA633" s="115"/>
      <c r="BB633" s="115"/>
    </row>
    <row r="634" spans="2:54" x14ac:dyDescent="0.25">
      <c r="AF634" s="115"/>
      <c r="AG634" s="115"/>
      <c r="AH634" s="115"/>
      <c r="AI634" s="115"/>
      <c r="AJ634" s="115"/>
      <c r="AK634" s="115"/>
      <c r="AL634" s="115"/>
      <c r="AM634" s="115"/>
      <c r="AN634" s="115"/>
      <c r="AO634" s="115"/>
      <c r="AP634" s="115"/>
      <c r="AQ634" s="115"/>
      <c r="AR634" s="115"/>
      <c r="AS634" s="115"/>
      <c r="AT634" s="115"/>
      <c r="AU634" s="115"/>
      <c r="AV634" s="115"/>
      <c r="AW634" s="115"/>
      <c r="AX634" s="115"/>
      <c r="AY634" s="115"/>
      <c r="AZ634" s="115"/>
      <c r="BA634" s="115"/>
      <c r="BB634" s="115"/>
    </row>
    <row r="635" spans="2:54" x14ac:dyDescent="0.25">
      <c r="AF635" s="115"/>
      <c r="AG635" s="115"/>
      <c r="AH635" s="115"/>
      <c r="AI635" s="115"/>
      <c r="AJ635" s="115"/>
      <c r="AK635" s="115"/>
      <c r="AL635" s="115"/>
      <c r="AM635" s="115"/>
      <c r="AN635" s="115"/>
      <c r="AO635" s="115"/>
      <c r="AP635" s="115"/>
      <c r="AQ635" s="115"/>
      <c r="AR635" s="115"/>
      <c r="AS635" s="115"/>
      <c r="AT635" s="115"/>
      <c r="AU635" s="115"/>
      <c r="AV635" s="115"/>
      <c r="AW635" s="115"/>
      <c r="AX635" s="115"/>
      <c r="AY635" s="115"/>
      <c r="AZ635" s="115"/>
      <c r="BA635" s="115"/>
      <c r="BB635" s="115"/>
    </row>
  </sheetData>
  <mergeCells count="96">
    <mergeCell ref="BB500:BE500"/>
    <mergeCell ref="BB458:BE458"/>
    <mergeCell ref="BL458:BO458"/>
    <mergeCell ref="BL500:BO500"/>
    <mergeCell ref="BB416:BE416"/>
    <mergeCell ref="BL416:BO416"/>
    <mergeCell ref="BL374:BO374"/>
    <mergeCell ref="BB332:BE332"/>
    <mergeCell ref="BL332:BO332"/>
    <mergeCell ref="BB290:BE290"/>
    <mergeCell ref="BB206:BE206"/>
    <mergeCell ref="BB248:BE248"/>
    <mergeCell ref="AW162:AZ162"/>
    <mergeCell ref="AR458:AU458"/>
    <mergeCell ref="AW414:AZ414"/>
    <mergeCell ref="AW458:AZ458"/>
    <mergeCell ref="AW456:AZ456"/>
    <mergeCell ref="AR416:AU416"/>
    <mergeCell ref="AW416:AZ416"/>
    <mergeCell ref="AR290:AU290"/>
    <mergeCell ref="BB23:BE23"/>
    <mergeCell ref="BL23:BO23"/>
    <mergeCell ref="AR374:AU374"/>
    <mergeCell ref="AW372:AZ372"/>
    <mergeCell ref="AW374:AZ374"/>
    <mergeCell ref="BB374:BE374"/>
    <mergeCell ref="AR332:AU332"/>
    <mergeCell ref="AW332:AZ332"/>
    <mergeCell ref="AW246:AZ246"/>
    <mergeCell ref="AW248:AZ248"/>
    <mergeCell ref="BL248:BO248"/>
    <mergeCell ref="AW288:AZ288"/>
    <mergeCell ref="AW330:AZ330"/>
    <mergeCell ref="AW290:AZ290"/>
    <mergeCell ref="AW78:AZ78"/>
    <mergeCell ref="AR164:AU164"/>
    <mergeCell ref="BB38:BE38"/>
    <mergeCell ref="BL38:BO38"/>
    <mergeCell ref="AR122:AU122"/>
    <mergeCell ref="AW122:AZ122"/>
    <mergeCell ref="AW120:AZ120"/>
    <mergeCell ref="BB122:BE122"/>
    <mergeCell ref="BL122:BO122"/>
    <mergeCell ref="BB80:BE80"/>
    <mergeCell ref="BL80:BO80"/>
    <mergeCell ref="AM92:AP92"/>
    <mergeCell ref="AH91:AK91"/>
    <mergeCell ref="AR91:AU91"/>
    <mergeCell ref="AW80:AZ80"/>
    <mergeCell ref="AG1:AH1"/>
    <mergeCell ref="AR38:AU38"/>
    <mergeCell ref="AW38:AZ38"/>
    <mergeCell ref="AH23:AK23"/>
    <mergeCell ref="AW37:AZ37"/>
    <mergeCell ref="AR22:AU22"/>
    <mergeCell ref="AR80:AU80"/>
    <mergeCell ref="AR23:AU23"/>
    <mergeCell ref="AW23:AZ23"/>
    <mergeCell ref="AR584:AU584"/>
    <mergeCell ref="BL164:BO164"/>
    <mergeCell ref="BB164:BE164"/>
    <mergeCell ref="BL290:BO290"/>
    <mergeCell ref="AR206:AU206"/>
    <mergeCell ref="AW206:AZ206"/>
    <mergeCell ref="AW204:AZ204"/>
    <mergeCell ref="BL206:BO206"/>
    <mergeCell ref="AR248:AU248"/>
    <mergeCell ref="AR542:AU542"/>
    <mergeCell ref="AW540:AZ540"/>
    <mergeCell ref="AW542:AZ542"/>
    <mergeCell ref="AR500:AU500"/>
    <mergeCell ref="AW498:AZ498"/>
    <mergeCell ref="AW500:AZ500"/>
    <mergeCell ref="AW164:AZ164"/>
    <mergeCell ref="BL542:BO542"/>
    <mergeCell ref="AW582:AZ582"/>
    <mergeCell ref="AW584:AZ584"/>
    <mergeCell ref="BB584:BE584"/>
    <mergeCell ref="BL584:BO584"/>
    <mergeCell ref="BB542:BE542"/>
    <mergeCell ref="AH626:AK626"/>
    <mergeCell ref="AR626:AU626"/>
    <mergeCell ref="AH38:AK38"/>
    <mergeCell ref="AH80:AK80"/>
    <mergeCell ref="AH122:AK122"/>
    <mergeCell ref="AH164:AK164"/>
    <mergeCell ref="AH206:AK206"/>
    <mergeCell ref="AH248:AK248"/>
    <mergeCell ref="AH290:AK290"/>
    <mergeCell ref="AH332:AK332"/>
    <mergeCell ref="AH374:AK374"/>
    <mergeCell ref="AH416:AK416"/>
    <mergeCell ref="AH458:AK458"/>
    <mergeCell ref="AH500:AK500"/>
    <mergeCell ref="AH542:AK542"/>
    <mergeCell ref="AH584:AK58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ungsi_G">
                <anchor moveWithCells="1" sizeWithCells="1">
                  <from>
                    <xdr:col>31</xdr:col>
                    <xdr:colOff>590550</xdr:colOff>
                    <xdr:row>11</xdr:row>
                    <xdr:rowOff>133350</xdr:rowOff>
                  </from>
                  <to>
                    <xdr:col>35</xdr:col>
                    <xdr:colOff>190500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ound2">
                <anchor moveWithCells="1" sizeWithCells="1">
                  <from>
                    <xdr:col>43</xdr:col>
                    <xdr:colOff>95250</xdr:colOff>
                    <xdr:row>43</xdr:row>
                    <xdr:rowOff>104775</xdr:rowOff>
                  </from>
                  <to>
                    <xdr:col>46</xdr:col>
                    <xdr:colOff>485775</xdr:colOff>
                    <xdr:row>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round3">
                <anchor moveWithCells="1" sizeWithCells="1">
                  <from>
                    <xdr:col>43</xdr:col>
                    <xdr:colOff>95250</xdr:colOff>
                    <xdr:row>86</xdr:row>
                    <xdr:rowOff>104775</xdr:rowOff>
                  </from>
                  <to>
                    <xdr:col>46</xdr:col>
                    <xdr:colOff>485775</xdr:colOff>
                    <xdr:row>90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ound4">
                <anchor moveWithCells="1" sizeWithCells="1">
                  <from>
                    <xdr:col>43</xdr:col>
                    <xdr:colOff>95250</xdr:colOff>
                    <xdr:row>127</xdr:row>
                    <xdr:rowOff>104775</xdr:rowOff>
                  </from>
                  <to>
                    <xdr:col>46</xdr:col>
                    <xdr:colOff>485775</xdr:colOff>
                    <xdr:row>131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round5">
                <anchor moveWithCells="1" sizeWithCells="1">
                  <from>
                    <xdr:col>43</xdr:col>
                    <xdr:colOff>95250</xdr:colOff>
                    <xdr:row>169</xdr:row>
                    <xdr:rowOff>104775</xdr:rowOff>
                  </from>
                  <to>
                    <xdr:col>46</xdr:col>
                    <xdr:colOff>485775</xdr:colOff>
                    <xdr:row>173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ound6">
                <anchor moveWithCells="1" sizeWithCells="1">
                  <from>
                    <xdr:col>43</xdr:col>
                    <xdr:colOff>95250</xdr:colOff>
                    <xdr:row>211</xdr:row>
                    <xdr:rowOff>104775</xdr:rowOff>
                  </from>
                  <to>
                    <xdr:col>46</xdr:col>
                    <xdr:colOff>485775</xdr:colOff>
                    <xdr:row>215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round7">
                <anchor moveWithCells="1" sizeWithCells="1">
                  <from>
                    <xdr:col>43</xdr:col>
                    <xdr:colOff>95250</xdr:colOff>
                    <xdr:row>253</xdr:row>
                    <xdr:rowOff>104775</xdr:rowOff>
                  </from>
                  <to>
                    <xdr:col>46</xdr:col>
                    <xdr:colOff>485775</xdr:colOff>
                    <xdr:row>257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round8">
                <anchor moveWithCells="1" sizeWithCells="1">
                  <from>
                    <xdr:col>43</xdr:col>
                    <xdr:colOff>95250</xdr:colOff>
                    <xdr:row>295</xdr:row>
                    <xdr:rowOff>104775</xdr:rowOff>
                  </from>
                  <to>
                    <xdr:col>46</xdr:col>
                    <xdr:colOff>485775</xdr:colOff>
                    <xdr:row>299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round9">
                <anchor moveWithCells="1" sizeWithCells="1">
                  <from>
                    <xdr:col>43</xdr:col>
                    <xdr:colOff>95250</xdr:colOff>
                    <xdr:row>337</xdr:row>
                    <xdr:rowOff>104775</xdr:rowOff>
                  </from>
                  <to>
                    <xdr:col>46</xdr:col>
                    <xdr:colOff>485775</xdr:colOff>
                    <xdr:row>341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round10">
                <anchor moveWithCells="1" sizeWithCells="1">
                  <from>
                    <xdr:col>43</xdr:col>
                    <xdr:colOff>95250</xdr:colOff>
                    <xdr:row>379</xdr:row>
                    <xdr:rowOff>104775</xdr:rowOff>
                  </from>
                  <to>
                    <xdr:col>46</xdr:col>
                    <xdr:colOff>485775</xdr:colOff>
                    <xdr:row>383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round11">
                <anchor moveWithCells="1" sizeWithCells="1">
                  <from>
                    <xdr:col>43</xdr:col>
                    <xdr:colOff>95250</xdr:colOff>
                    <xdr:row>421</xdr:row>
                    <xdr:rowOff>104775</xdr:rowOff>
                  </from>
                  <to>
                    <xdr:col>46</xdr:col>
                    <xdr:colOff>485775</xdr:colOff>
                    <xdr:row>425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round12">
                <anchor moveWithCells="1" sizeWithCells="1">
                  <from>
                    <xdr:col>43</xdr:col>
                    <xdr:colOff>95250</xdr:colOff>
                    <xdr:row>463</xdr:row>
                    <xdr:rowOff>104775</xdr:rowOff>
                  </from>
                  <to>
                    <xdr:col>46</xdr:col>
                    <xdr:colOff>485775</xdr:colOff>
                    <xdr:row>467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round13">
                <anchor moveWithCells="1" sizeWithCells="1">
                  <from>
                    <xdr:col>43</xdr:col>
                    <xdr:colOff>95250</xdr:colOff>
                    <xdr:row>505</xdr:row>
                    <xdr:rowOff>104775</xdr:rowOff>
                  </from>
                  <to>
                    <xdr:col>46</xdr:col>
                    <xdr:colOff>485775</xdr:colOff>
                    <xdr:row>509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round14">
                <anchor moveWithCells="1" sizeWithCells="1">
                  <from>
                    <xdr:col>43</xdr:col>
                    <xdr:colOff>95250</xdr:colOff>
                    <xdr:row>547</xdr:row>
                    <xdr:rowOff>104775</xdr:rowOff>
                  </from>
                  <to>
                    <xdr:col>46</xdr:col>
                    <xdr:colOff>485775</xdr:colOff>
                    <xdr:row>551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[0]!round1">
                <anchor moveWithCells="1" sizeWithCells="1">
                  <from>
                    <xdr:col>43</xdr:col>
                    <xdr:colOff>95250</xdr:colOff>
                    <xdr:row>28</xdr:row>
                    <xdr:rowOff>104775</xdr:rowOff>
                  </from>
                  <to>
                    <xdr:col>46</xdr:col>
                    <xdr:colOff>485775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[0]!round15">
                <anchor moveWithCells="1" sizeWithCells="1">
                  <from>
                    <xdr:col>43</xdr:col>
                    <xdr:colOff>95250</xdr:colOff>
                    <xdr:row>589</xdr:row>
                    <xdr:rowOff>104775</xdr:rowOff>
                  </from>
                  <to>
                    <xdr:col>46</xdr:col>
                    <xdr:colOff>485775</xdr:colOff>
                    <xdr:row>593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630"/>
  <sheetViews>
    <sheetView workbookViewId="0">
      <selection activeCell="AK585" sqref="AK585:AK588"/>
    </sheetView>
  </sheetViews>
  <sheetFormatPr defaultRowHeight="15" x14ac:dyDescent="0.25"/>
  <cols>
    <col min="4" max="4" width="14.5703125" customWidth="1"/>
    <col min="8" max="8" width="3.85546875" customWidth="1"/>
    <col min="9" max="9" width="3.140625" customWidth="1"/>
    <col min="10" max="10" width="2.7109375" customWidth="1"/>
    <col min="11" max="11" width="2.5703125" customWidth="1"/>
    <col min="13" max="14" width="3.5703125" customWidth="1"/>
    <col min="15" max="15" width="3.42578125" customWidth="1"/>
    <col min="16" max="16" width="3.7109375" customWidth="1"/>
    <col min="20" max="20" width="11" customWidth="1"/>
    <col min="26" max="26" width="3.85546875" customWidth="1"/>
    <col min="27" max="27" width="4" customWidth="1"/>
    <col min="28" max="29" width="3.7109375" customWidth="1"/>
    <col min="31" max="31" width="4.140625" customWidth="1"/>
    <col min="32" max="32" width="4.85546875" customWidth="1"/>
    <col min="33" max="33" width="4" customWidth="1"/>
    <col min="34" max="34" width="4.140625" customWidth="1"/>
  </cols>
  <sheetData>
    <row r="1" spans="1:34" ht="15.75" thickBot="1" x14ac:dyDescent="0.3">
      <c r="A1" s="17"/>
      <c r="B1" s="17" t="s">
        <v>79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S1" s="116" t="s">
        <v>189</v>
      </c>
      <c r="T1" s="116"/>
      <c r="U1" s="116"/>
      <c r="V1" s="116"/>
      <c r="W1" s="116"/>
    </row>
    <row r="2" spans="1:34" x14ac:dyDescent="0.25">
      <c r="A2" s="8"/>
      <c r="B2" s="8"/>
      <c r="C2" s="8"/>
      <c r="D2" s="8"/>
      <c r="E2" s="17"/>
      <c r="F2" s="17"/>
      <c r="G2" s="17"/>
      <c r="H2" s="90"/>
      <c r="I2" s="91"/>
      <c r="J2" s="91"/>
      <c r="K2" s="91"/>
      <c r="L2" s="91"/>
      <c r="M2" s="91"/>
      <c r="N2" s="91"/>
      <c r="O2" s="92"/>
      <c r="P2" s="92"/>
      <c r="Q2" s="93"/>
      <c r="S2" t="s">
        <v>179</v>
      </c>
      <c r="U2" t="s">
        <v>181</v>
      </c>
      <c r="V2" s="99" t="s">
        <v>182</v>
      </c>
      <c r="W2" s="92" t="s">
        <v>180</v>
      </c>
      <c r="X2" s="92"/>
      <c r="Y2" s="92"/>
      <c r="Z2" s="92" t="s">
        <v>208</v>
      </c>
      <c r="AA2" s="92"/>
      <c r="AB2" s="92"/>
      <c r="AC2" s="92"/>
      <c r="AD2" s="92"/>
      <c r="AE2" s="93"/>
    </row>
    <row r="3" spans="1:34" x14ac:dyDescent="0.25">
      <c r="A3" s="8"/>
      <c r="B3" s="8"/>
      <c r="C3" s="8"/>
      <c r="D3" s="8" t="str">
        <f>RIGHT(HEX2BIN(C3,8)&amp;LEFT(HEX2BIN(E3,8),2),8)</f>
        <v>00000000</v>
      </c>
      <c r="E3" s="17"/>
      <c r="F3" s="17"/>
      <c r="G3" s="17"/>
      <c r="H3" s="94">
        <v>2</v>
      </c>
      <c r="I3" s="34">
        <v>3</v>
      </c>
      <c r="J3" s="34">
        <v>1</v>
      </c>
      <c r="K3" s="34">
        <v>1</v>
      </c>
      <c r="L3" s="34"/>
      <c r="M3" s="11">
        <v>63</v>
      </c>
      <c r="N3" s="11" t="s">
        <v>90</v>
      </c>
      <c r="O3" s="73" t="s">
        <v>110</v>
      </c>
      <c r="P3" s="73" t="s">
        <v>178</v>
      </c>
      <c r="Q3" s="95"/>
      <c r="R3" t="str">
        <f>HEX2BIN(M3,8)</f>
        <v>01100011</v>
      </c>
      <c r="S3" t="str">
        <f>(RIGHT(HEX2BIN(M3,8)&amp;LEFT(HEX2BIN($A$1,8),1),8))</f>
        <v>11000110</v>
      </c>
      <c r="U3" t="str">
        <f>DEC2HEX(_xlfn.BITXOR(BIN2DEC(RIGHT(HEX2BIN(L14,8)&amp;LEFT(HEX2BIN($A$1,8),1),8)),HEX2DEC($B$1)))</f>
        <v>B3</v>
      </c>
      <c r="V3" s="100" t="str">
        <f>DEC2HEX(_xlfn.BITXOR(_xlfn.BITXOR(BIN2DEC(RIGHT(HEX2BIN(L15,8)&amp;LEFT(HEX2BIN($A$1,8),1),8)),HEX2DEC($B$1)),HEX2DEC(L15)))</f>
        <v>DA</v>
      </c>
      <c r="W3" s="41" t="str">
        <f>DEC2HEX(_xlfn.BITXOR(BIN2DEC((RIGHT(HEX2BIN(M3,8)&amp;LEFT(HEX2BIN($A$1,8),1),8))),HEX2DEC(M3)),2)</f>
        <v>A5</v>
      </c>
      <c r="X3" s="41"/>
      <c r="Y3" s="41"/>
      <c r="Z3" s="41">
        <v>31</v>
      </c>
      <c r="AA3" s="41">
        <v>31</v>
      </c>
      <c r="AB3" s="41">
        <v>31</v>
      </c>
      <c r="AC3" s="41">
        <v>31</v>
      </c>
      <c r="AD3" s="41"/>
      <c r="AE3" s="101">
        <f>E3</f>
        <v>0</v>
      </c>
      <c r="AF3" s="14">
        <f>H3</f>
        <v>2</v>
      </c>
      <c r="AG3" s="14">
        <f>K3</f>
        <v>1</v>
      </c>
      <c r="AH3" s="14" t="str">
        <f>N3</f>
        <v>EB</v>
      </c>
    </row>
    <row r="4" spans="1:34" x14ac:dyDescent="0.25">
      <c r="A4" s="8"/>
      <c r="B4" s="8"/>
      <c r="C4" s="8"/>
      <c r="D4" s="8"/>
      <c r="E4" s="17"/>
      <c r="F4" s="17"/>
      <c r="G4" s="17"/>
      <c r="H4" s="94">
        <v>1</v>
      </c>
      <c r="I4" s="34">
        <v>2</v>
      </c>
      <c r="J4" s="34">
        <v>3</v>
      </c>
      <c r="K4" s="34">
        <v>1</v>
      </c>
      <c r="L4" s="34"/>
      <c r="M4" s="11" t="s">
        <v>160</v>
      </c>
      <c r="N4" s="11">
        <v>93</v>
      </c>
      <c r="O4" s="11">
        <v>92</v>
      </c>
      <c r="P4" s="73" t="s">
        <v>104</v>
      </c>
      <c r="Q4" s="95"/>
      <c r="R4" t="str">
        <f>HEX2BIN(M4,8)</f>
        <v>00101111</v>
      </c>
      <c r="S4" t="str">
        <f>(RIGHT(HEX2BIN(M4,8)&amp;LEFT(HEX2BIN($A$1,8),1),8))</f>
        <v>01011110</v>
      </c>
      <c r="V4" s="100"/>
      <c r="W4" s="41"/>
      <c r="X4" s="41"/>
      <c r="Y4" s="41"/>
      <c r="Z4" s="41">
        <v>31</v>
      </c>
      <c r="AA4" s="41">
        <v>31</v>
      </c>
      <c r="AB4" s="41">
        <v>31</v>
      </c>
      <c r="AC4" s="41">
        <v>31</v>
      </c>
      <c r="AD4" s="41"/>
      <c r="AE4" s="101">
        <f>E4</f>
        <v>0</v>
      </c>
      <c r="AF4" s="14">
        <f>H4</f>
        <v>1</v>
      </c>
      <c r="AG4" s="14">
        <f>K4</f>
        <v>1</v>
      </c>
      <c r="AH4" s="14">
        <f>N4</f>
        <v>93</v>
      </c>
    </row>
    <row r="5" spans="1:34" x14ac:dyDescent="0.25">
      <c r="A5" s="8"/>
      <c r="B5" s="8"/>
      <c r="C5" s="8"/>
      <c r="D5" s="8"/>
      <c r="E5" s="17"/>
      <c r="F5" s="17"/>
      <c r="G5" s="17"/>
      <c r="H5" s="94">
        <v>1</v>
      </c>
      <c r="I5" s="34">
        <v>1</v>
      </c>
      <c r="J5" s="34">
        <v>2</v>
      </c>
      <c r="K5" s="34">
        <v>3</v>
      </c>
      <c r="L5" s="34"/>
      <c r="M5" s="11" t="s">
        <v>100</v>
      </c>
      <c r="N5" s="11" t="s">
        <v>159</v>
      </c>
      <c r="O5" s="73" t="s">
        <v>76</v>
      </c>
      <c r="P5" s="73">
        <v>30</v>
      </c>
      <c r="Q5" s="95"/>
      <c r="V5" s="100"/>
      <c r="W5" s="41"/>
      <c r="X5" s="41"/>
      <c r="Y5" s="41"/>
      <c r="Z5" s="41">
        <v>31</v>
      </c>
      <c r="AA5" s="41">
        <v>31</v>
      </c>
      <c r="AB5" s="41">
        <v>31</v>
      </c>
      <c r="AC5" s="41">
        <v>31</v>
      </c>
      <c r="AD5" s="41"/>
      <c r="AE5" s="101">
        <f>E5</f>
        <v>0</v>
      </c>
      <c r="AF5" s="14">
        <f>H5</f>
        <v>1</v>
      </c>
      <c r="AG5" s="14">
        <f>K5</f>
        <v>3</v>
      </c>
      <c r="AH5" s="14" t="str">
        <f>N5</f>
        <v>C7</v>
      </c>
    </row>
    <row r="6" spans="1:34" ht="15.75" thickBot="1" x14ac:dyDescent="0.3">
      <c r="A6" s="17"/>
      <c r="B6" s="17"/>
      <c r="C6" s="17"/>
      <c r="D6" s="17"/>
      <c r="E6" s="17"/>
      <c r="F6" s="17"/>
      <c r="G6" s="17"/>
      <c r="H6" s="96">
        <v>3</v>
      </c>
      <c r="I6" s="97">
        <v>1</v>
      </c>
      <c r="J6" s="97">
        <v>1</v>
      </c>
      <c r="K6" s="97">
        <v>2</v>
      </c>
      <c r="L6" s="97"/>
      <c r="M6" s="87" t="s">
        <v>72</v>
      </c>
      <c r="N6" s="87">
        <v>20</v>
      </c>
      <c r="O6" s="86" t="s">
        <v>147</v>
      </c>
      <c r="P6" s="86" t="s">
        <v>82</v>
      </c>
      <c r="Q6" s="98"/>
      <c r="V6" s="102"/>
      <c r="W6" s="103"/>
      <c r="X6" s="103"/>
      <c r="Y6" s="103"/>
      <c r="Z6" s="103">
        <v>31</v>
      </c>
      <c r="AA6" s="103">
        <v>31</v>
      </c>
      <c r="AB6" s="103">
        <v>31</v>
      </c>
      <c r="AC6" s="103">
        <v>1</v>
      </c>
      <c r="AD6" s="103"/>
      <c r="AE6" s="104">
        <f>E6</f>
        <v>0</v>
      </c>
      <c r="AF6" s="14">
        <f>H6</f>
        <v>3</v>
      </c>
      <c r="AG6" s="14">
        <f>K6</f>
        <v>2</v>
      </c>
      <c r="AH6" s="14">
        <f>N6</f>
        <v>20</v>
      </c>
    </row>
    <row r="7" spans="1:34" ht="15.75" thickBot="1" x14ac:dyDescent="0.3">
      <c r="A7" s="17"/>
      <c r="B7" s="8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</row>
    <row r="8" spans="1:34" x14ac:dyDescent="0.25">
      <c r="A8" s="18"/>
      <c r="B8" s="18"/>
      <c r="C8" s="8"/>
      <c r="D8" s="17"/>
      <c r="E8" s="17"/>
      <c r="F8" s="8"/>
      <c r="G8" s="17"/>
      <c r="H8" s="105"/>
      <c r="I8" s="91"/>
      <c r="J8" s="106"/>
      <c r="K8" s="91"/>
      <c r="L8" s="91"/>
      <c r="M8" s="91"/>
      <c r="N8" s="91"/>
      <c r="O8" s="92"/>
      <c r="P8" s="92"/>
      <c r="Q8" s="93"/>
      <c r="V8" s="99"/>
      <c r="W8" s="92"/>
      <c r="X8" s="92"/>
      <c r="Y8" s="92"/>
      <c r="Z8" s="92"/>
      <c r="AA8" s="92"/>
      <c r="AB8" s="92"/>
      <c r="AC8" s="92"/>
      <c r="AD8" s="92"/>
      <c r="AE8" s="93"/>
    </row>
    <row r="9" spans="1:34" x14ac:dyDescent="0.25">
      <c r="A9" s="18"/>
      <c r="B9" s="18"/>
      <c r="C9" s="8"/>
      <c r="D9" s="17"/>
      <c r="E9" s="17"/>
      <c r="F9" s="8"/>
      <c r="G9" s="17"/>
      <c r="H9" s="108"/>
      <c r="I9" s="34"/>
      <c r="J9" s="11"/>
      <c r="K9" s="34"/>
      <c r="L9" s="34"/>
      <c r="M9" s="34"/>
      <c r="N9" s="34"/>
      <c r="O9" s="41"/>
      <c r="P9" s="41"/>
      <c r="Q9" s="95"/>
      <c r="V9" s="100"/>
      <c r="W9" s="41"/>
      <c r="X9" s="41"/>
      <c r="Y9" s="41"/>
      <c r="Z9" s="41"/>
      <c r="AA9" s="41"/>
      <c r="AB9" s="41"/>
      <c r="AC9" s="41"/>
      <c r="AD9" s="41"/>
      <c r="AE9" s="95"/>
    </row>
    <row r="10" spans="1:34" x14ac:dyDescent="0.25">
      <c r="A10" s="18"/>
      <c r="B10" s="18"/>
      <c r="C10" s="8"/>
      <c r="D10" s="17"/>
      <c r="E10" s="17"/>
      <c r="F10" s="8"/>
      <c r="G10" s="17"/>
      <c r="H10" s="108"/>
      <c r="I10" s="34"/>
      <c r="J10" s="11"/>
      <c r="K10" s="34"/>
      <c r="L10" s="34"/>
      <c r="M10" s="34"/>
      <c r="N10" s="34"/>
      <c r="O10" s="41"/>
      <c r="P10" s="41"/>
      <c r="Q10" s="95"/>
      <c r="V10" s="100"/>
      <c r="W10" s="41"/>
      <c r="X10" s="41"/>
      <c r="Y10" s="41"/>
      <c r="Z10" s="41"/>
      <c r="AA10" s="41"/>
      <c r="AB10" s="41"/>
      <c r="AC10" s="41"/>
      <c r="AD10" s="41"/>
      <c r="AE10" s="95"/>
    </row>
    <row r="11" spans="1:34" x14ac:dyDescent="0.25">
      <c r="A11" s="18"/>
      <c r="B11" s="18"/>
      <c r="C11" s="8"/>
      <c r="D11" s="17"/>
      <c r="E11" s="17"/>
      <c r="F11" s="8"/>
      <c r="G11" s="17"/>
      <c r="H11" s="108"/>
      <c r="I11" s="34"/>
      <c r="J11" s="11"/>
      <c r="K11" s="34"/>
      <c r="L11" s="34"/>
      <c r="M11" s="34"/>
      <c r="N11" s="34"/>
      <c r="O11" s="41"/>
      <c r="P11" s="41"/>
      <c r="Q11" s="95"/>
      <c r="V11" s="100"/>
      <c r="W11" s="41"/>
      <c r="X11" s="41"/>
      <c r="Y11" s="41"/>
      <c r="Z11" s="41"/>
      <c r="AA11" s="41"/>
      <c r="AB11" s="41"/>
      <c r="AC11" s="41"/>
      <c r="AD11" s="41"/>
      <c r="AE11" s="95"/>
    </row>
    <row r="12" spans="1:34" ht="15.75" thickBot="1" x14ac:dyDescent="0.3">
      <c r="A12" s="17"/>
      <c r="B12" s="17"/>
      <c r="C12" s="17"/>
      <c r="D12" s="17"/>
      <c r="E12" s="17"/>
      <c r="F12" s="17"/>
      <c r="G12" s="17"/>
      <c r="H12" s="96"/>
      <c r="I12" s="97"/>
      <c r="J12" s="97"/>
      <c r="K12" s="97"/>
      <c r="L12" s="97"/>
      <c r="M12" s="97"/>
      <c r="N12" s="97"/>
      <c r="O12" s="103"/>
      <c r="P12" s="103"/>
      <c r="Q12" s="98"/>
      <c r="V12" s="102"/>
      <c r="W12" s="103"/>
      <c r="X12" s="103"/>
      <c r="Y12" s="103"/>
      <c r="Z12" s="103"/>
      <c r="AA12" s="103"/>
      <c r="AB12" s="103"/>
      <c r="AC12" s="103"/>
      <c r="AD12" s="103"/>
      <c r="AE12" s="98"/>
    </row>
    <row r="13" spans="1:34" ht="15.75" thickBot="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</row>
    <row r="14" spans="1:34" x14ac:dyDescent="0.25">
      <c r="A14" s="17"/>
      <c r="B14" s="17"/>
      <c r="C14" s="17"/>
      <c r="D14" s="17"/>
      <c r="E14" s="17"/>
      <c r="F14" s="17"/>
      <c r="G14" s="17"/>
      <c r="H14" s="90"/>
      <c r="I14" s="91"/>
      <c r="J14" s="91"/>
      <c r="K14" s="91"/>
      <c r="L14" s="106" t="s">
        <v>168</v>
      </c>
      <c r="M14" s="106" t="s">
        <v>13</v>
      </c>
      <c r="N14" s="106" t="s">
        <v>184</v>
      </c>
      <c r="O14" s="106" t="s">
        <v>185</v>
      </c>
      <c r="P14" s="92"/>
      <c r="Q14" s="121" t="s">
        <v>193</v>
      </c>
      <c r="R14" s="122"/>
      <c r="S14" s="122"/>
      <c r="T14" s="122"/>
      <c r="V14" s="99"/>
      <c r="W14" s="92"/>
      <c r="X14" s="92"/>
      <c r="Y14" s="92"/>
      <c r="Z14" s="92"/>
      <c r="AA14" s="92"/>
      <c r="AB14" s="92"/>
      <c r="AC14" s="92"/>
      <c r="AD14" s="92"/>
      <c r="AE14" s="93"/>
    </row>
    <row r="15" spans="1:34" x14ac:dyDescent="0.25">
      <c r="B15" s="116"/>
      <c r="C15" s="116"/>
      <c r="D15" s="116"/>
      <c r="E15" s="116"/>
      <c r="H15" s="100"/>
      <c r="I15" s="41"/>
      <c r="J15" s="41"/>
      <c r="K15" s="41"/>
      <c r="L15" s="73" t="s">
        <v>102</v>
      </c>
      <c r="M15" s="73" t="s">
        <v>183</v>
      </c>
      <c r="N15" s="73">
        <v>41</v>
      </c>
      <c r="O15" s="73">
        <v>27</v>
      </c>
      <c r="P15" s="41"/>
      <c r="Q15" s="109" t="s">
        <v>190</v>
      </c>
      <c r="R15" s="20" t="s">
        <v>191</v>
      </c>
      <c r="S15" s="20" t="s">
        <v>192</v>
      </c>
      <c r="T15" s="21">
        <v>9</v>
      </c>
      <c r="U15" s="19" t="str">
        <f>DEC2HEX(_xlfn.BITXOR(_xlfn.BITXOR(_xlfn.BITXOR(HEX2DEC(DEC2HEX(_xlfn.BITXOR(BIN2DEC(RIGHT(HEX2BIN(L14,8)&amp;LEFT(HEX2BIN($A$1,8),1),8)),HEX2DEC($B$1)))),HEX2DEC(DEC2HEX(_xlfn.BITXOR(_xlfn.BITXOR(BIN2DEC(RIGHT(HEX2BIN(L15,8)&amp;LEFT(HEX2BIN($A$1,8),1),8)),HEX2DEC($B$1)),HEX2DEC(L15))))),HEX2DEC(L16)),HEX2DEC(L17)))</f>
        <v>4</v>
      </c>
      <c r="V15" s="100"/>
      <c r="W15" s="41"/>
      <c r="X15" s="41"/>
      <c r="Y15" s="41"/>
      <c r="Z15" s="41"/>
      <c r="AA15" s="41"/>
      <c r="AB15" s="41"/>
      <c r="AC15" s="41"/>
      <c r="AD15" s="41"/>
      <c r="AE15" s="95"/>
    </row>
    <row r="16" spans="1:34" x14ac:dyDescent="0.25">
      <c r="H16" s="100"/>
      <c r="I16" s="41"/>
      <c r="J16" s="41"/>
      <c r="K16" s="41"/>
      <c r="L16" s="73" t="s">
        <v>113</v>
      </c>
      <c r="M16" s="73">
        <v>52</v>
      </c>
      <c r="N16" s="73">
        <v>11</v>
      </c>
      <c r="O16" s="73">
        <v>98</v>
      </c>
      <c r="P16" s="41"/>
      <c r="Q16" s="110">
        <v>9</v>
      </c>
      <c r="R16" s="10" t="s">
        <v>190</v>
      </c>
      <c r="S16" s="10" t="s">
        <v>191</v>
      </c>
      <c r="T16" s="23" t="s">
        <v>192</v>
      </c>
      <c r="U16" s="19" t="str">
        <f>DEC2HEX(_xlfn.BITXOR(_xlfn.BITXOR(_xlfn.BITXOR(HEX2DEC(L14),_xlfn.BITXOR(BIN2DEC(RIGHT(HEX2BIN(L15,8)&amp;LEFT(HEX2BIN($A$1,8),1),8)),HEX2DEC($B$1))),_xlfn.BITXOR(BIN2DEC((RIGHT(HEX2BIN(L16,8)&amp;LEFT(HEX2BIN($A$1,8),1),8))),HEX2DEC(L16))),HEX2DEC(L17)))</f>
        <v>66</v>
      </c>
      <c r="V16" s="100"/>
      <c r="W16" s="41"/>
      <c r="X16" s="41"/>
      <c r="Y16" s="41"/>
      <c r="Z16" s="41"/>
      <c r="AA16" s="41"/>
      <c r="AB16" s="41"/>
      <c r="AC16" s="41"/>
      <c r="AD16" s="41"/>
      <c r="AE16" s="95"/>
    </row>
    <row r="17" spans="4:31" x14ac:dyDescent="0.25">
      <c r="H17" s="100"/>
      <c r="I17" s="41"/>
      <c r="J17" s="41"/>
      <c r="K17" s="41"/>
      <c r="L17" s="73">
        <v>30</v>
      </c>
      <c r="M17" s="73" t="s">
        <v>21</v>
      </c>
      <c r="N17" s="73" t="s">
        <v>18</v>
      </c>
      <c r="O17" s="73" t="s">
        <v>186</v>
      </c>
      <c r="P17" s="41"/>
      <c r="Q17" s="110" t="s">
        <v>192</v>
      </c>
      <c r="R17" s="10">
        <v>9</v>
      </c>
      <c r="S17" s="10" t="s">
        <v>190</v>
      </c>
      <c r="T17" s="23" t="s">
        <v>191</v>
      </c>
      <c r="U17" s="19">
        <v>81</v>
      </c>
      <c r="V17" s="100"/>
      <c r="W17" s="41"/>
      <c r="X17" s="41"/>
      <c r="Y17" s="41"/>
      <c r="Z17" s="41"/>
      <c r="AA17" s="41"/>
      <c r="AB17" s="41"/>
      <c r="AC17" s="41"/>
      <c r="AD17" s="41"/>
      <c r="AE17" s="95"/>
    </row>
    <row r="18" spans="4:31" ht="15.75" thickBot="1" x14ac:dyDescent="0.3">
      <c r="H18" s="102"/>
      <c r="I18" s="103"/>
      <c r="J18" s="103"/>
      <c r="K18" s="103"/>
      <c r="L18" s="103"/>
      <c r="M18" s="103"/>
      <c r="N18" s="103"/>
      <c r="O18" s="103"/>
      <c r="P18" s="103"/>
      <c r="Q18" s="111" t="s">
        <v>191</v>
      </c>
      <c r="R18" s="10" t="s">
        <v>192</v>
      </c>
      <c r="S18" s="10">
        <v>9</v>
      </c>
      <c r="T18" s="23" t="s">
        <v>190</v>
      </c>
      <c r="U18" s="19" t="s">
        <v>186</v>
      </c>
      <c r="V18" s="102"/>
      <c r="W18" s="103"/>
      <c r="X18" s="103"/>
      <c r="Y18" s="103"/>
      <c r="Z18" s="103"/>
      <c r="AA18" s="103"/>
      <c r="AB18" s="103"/>
      <c r="AC18" s="103"/>
      <c r="AD18" s="103"/>
      <c r="AE18" s="98"/>
    </row>
    <row r="19" spans="4:31" ht="15.75" thickBot="1" x14ac:dyDescent="0.3">
      <c r="Q19" s="112"/>
      <c r="R19" s="24"/>
      <c r="S19" s="24"/>
      <c r="T19" s="25"/>
    </row>
    <row r="20" spans="4:31" x14ac:dyDescent="0.25">
      <c r="E20" t="s">
        <v>187</v>
      </c>
      <c r="G20" t="s">
        <v>188</v>
      </c>
      <c r="H20" s="99"/>
      <c r="I20" s="92"/>
      <c r="J20" s="92"/>
      <c r="K20" s="92"/>
      <c r="L20" s="92"/>
      <c r="M20" s="92"/>
      <c r="N20" s="92"/>
      <c r="O20" s="92"/>
      <c r="P20" s="92"/>
      <c r="Q20" s="93"/>
      <c r="V20" s="99"/>
      <c r="W20" s="92"/>
      <c r="X20" s="92"/>
      <c r="Y20" s="92"/>
      <c r="Z20" s="92"/>
      <c r="AA20" s="92"/>
      <c r="AB20" s="92"/>
      <c r="AC20" s="92"/>
      <c r="AD20" s="92"/>
      <c r="AE20" s="93"/>
    </row>
    <row r="21" spans="4:31" x14ac:dyDescent="0.25">
      <c r="D21">
        <v>10101000</v>
      </c>
      <c r="E21">
        <v>10110011</v>
      </c>
      <c r="F21">
        <v>1100110</v>
      </c>
      <c r="G21">
        <v>1111101</v>
      </c>
      <c r="H21" s="100"/>
      <c r="I21" s="41"/>
      <c r="J21" s="41"/>
      <c r="K21" s="41"/>
      <c r="L21" s="41"/>
      <c r="M21" s="41"/>
      <c r="N21" s="41"/>
      <c r="O21" s="41"/>
      <c r="P21" s="41"/>
      <c r="Q21" s="95"/>
      <c r="V21" s="100"/>
      <c r="W21" s="41"/>
      <c r="X21" s="41"/>
      <c r="Y21" s="41"/>
      <c r="Z21" s="41"/>
      <c r="AA21" s="41"/>
      <c r="AB21" s="41"/>
      <c r="AC21" s="41"/>
      <c r="AD21" s="41"/>
      <c r="AE21" s="95"/>
    </row>
    <row r="22" spans="4:31" x14ac:dyDescent="0.25">
      <c r="H22" s="100"/>
      <c r="I22" s="41"/>
      <c r="J22" s="41"/>
      <c r="K22" s="41"/>
      <c r="L22" s="41"/>
      <c r="M22" s="41"/>
      <c r="N22" s="41"/>
      <c r="O22" s="41"/>
      <c r="P22" s="41"/>
      <c r="Q22" s="95"/>
      <c r="V22" s="100"/>
      <c r="W22" s="41"/>
      <c r="X22" s="41"/>
      <c r="Y22" s="41"/>
      <c r="Z22" s="41"/>
      <c r="AA22" s="41"/>
      <c r="AB22" s="41"/>
      <c r="AC22" s="41"/>
      <c r="AD22" s="41"/>
      <c r="AE22" s="95"/>
    </row>
    <row r="23" spans="4:31" x14ac:dyDescent="0.25">
      <c r="H23" s="100"/>
      <c r="I23" s="41"/>
      <c r="J23" s="41"/>
      <c r="K23" s="41"/>
      <c r="L23" s="41"/>
      <c r="M23" s="41"/>
      <c r="N23" s="41"/>
      <c r="O23" s="41"/>
      <c r="P23" s="41"/>
      <c r="Q23" s="95"/>
      <c r="V23" s="100"/>
      <c r="W23" s="41"/>
      <c r="X23" s="41"/>
      <c r="Y23" s="41"/>
      <c r="Z23" s="41"/>
      <c r="AA23" s="41"/>
      <c r="AB23" s="41"/>
      <c r="AC23" s="41"/>
      <c r="AD23" s="41"/>
      <c r="AE23" s="95"/>
    </row>
    <row r="24" spans="4:31" ht="15.75" thickBot="1" x14ac:dyDescent="0.3">
      <c r="H24" s="102"/>
      <c r="I24" s="103"/>
      <c r="J24" s="103"/>
      <c r="K24" s="103"/>
      <c r="L24" s="103"/>
      <c r="M24" s="103"/>
      <c r="N24" s="103"/>
      <c r="O24" s="103"/>
      <c r="P24" s="103"/>
      <c r="Q24" s="98"/>
      <c r="V24" s="102"/>
      <c r="W24" s="103"/>
      <c r="X24" s="103"/>
      <c r="Y24" s="103"/>
      <c r="Z24" s="103"/>
      <c r="AA24" s="103"/>
      <c r="AB24" s="103"/>
      <c r="AC24" s="103"/>
      <c r="AD24" s="103"/>
      <c r="AE24" s="98"/>
    </row>
    <row r="25" spans="4:31" ht="15.75" thickBot="1" x14ac:dyDescent="0.3"/>
    <row r="26" spans="4:31" x14ac:dyDescent="0.25">
      <c r="H26" s="99"/>
      <c r="I26" s="92"/>
      <c r="J26" s="92"/>
      <c r="K26" s="92"/>
      <c r="L26" s="92"/>
      <c r="M26" s="92"/>
      <c r="N26" s="92"/>
      <c r="O26" s="92"/>
      <c r="P26" s="92"/>
      <c r="Q26" s="93"/>
      <c r="V26" s="99"/>
      <c r="W26" s="92"/>
      <c r="X26" s="92"/>
      <c r="Y26" s="92"/>
      <c r="Z26" s="92"/>
      <c r="AA26" s="92"/>
      <c r="AB26" s="92"/>
      <c r="AC26" s="92"/>
      <c r="AD26" s="92"/>
      <c r="AE26" s="93"/>
    </row>
    <row r="27" spans="4:31" x14ac:dyDescent="0.25">
      <c r="H27" s="100"/>
      <c r="I27" s="41"/>
      <c r="J27" s="41"/>
      <c r="K27" s="41"/>
      <c r="L27" s="41"/>
      <c r="M27" s="41"/>
      <c r="N27" s="41"/>
      <c r="O27" s="41"/>
      <c r="P27" s="41"/>
      <c r="Q27" s="95"/>
      <c r="V27" s="100"/>
      <c r="W27" s="41"/>
      <c r="X27" s="41"/>
      <c r="Y27" s="41"/>
      <c r="Z27" s="41"/>
      <c r="AA27" s="41"/>
      <c r="AB27" s="41"/>
      <c r="AC27" s="41"/>
      <c r="AD27" s="41"/>
      <c r="AE27" s="95"/>
    </row>
    <row r="28" spans="4:31" x14ac:dyDescent="0.25">
      <c r="H28" s="100"/>
      <c r="I28" s="41"/>
      <c r="J28" s="41"/>
      <c r="K28" s="41"/>
      <c r="L28" s="41"/>
      <c r="M28" s="41"/>
      <c r="N28" s="41"/>
      <c r="O28" s="41"/>
      <c r="P28" s="41"/>
      <c r="Q28" s="95"/>
      <c r="V28" s="100"/>
      <c r="W28" s="41"/>
      <c r="X28" s="41"/>
      <c r="Y28" s="41"/>
      <c r="Z28" s="41"/>
      <c r="AA28" s="41"/>
      <c r="AB28" s="41"/>
      <c r="AC28" s="41"/>
      <c r="AD28" s="41"/>
      <c r="AE28" s="95"/>
    </row>
    <row r="29" spans="4:31" x14ac:dyDescent="0.25">
      <c r="H29" s="100"/>
      <c r="I29" s="41"/>
      <c r="J29" s="41"/>
      <c r="K29" s="41"/>
      <c r="L29" s="41"/>
      <c r="M29" s="41"/>
      <c r="N29" s="41"/>
      <c r="O29" s="41"/>
      <c r="P29" s="41"/>
      <c r="Q29" s="95"/>
      <c r="V29" s="100"/>
      <c r="W29" s="41"/>
      <c r="X29" s="41"/>
      <c r="Y29" s="41"/>
      <c r="Z29" s="41"/>
      <c r="AA29" s="41"/>
      <c r="AB29" s="41"/>
      <c r="AC29" s="41"/>
      <c r="AD29" s="41"/>
      <c r="AE29" s="95"/>
    </row>
    <row r="30" spans="4:31" ht="15.75" thickBot="1" x14ac:dyDescent="0.3">
      <c r="H30" s="102"/>
      <c r="I30" s="103"/>
      <c r="J30" s="103"/>
      <c r="K30" s="103"/>
      <c r="L30" s="103"/>
      <c r="M30" s="103"/>
      <c r="N30" s="103"/>
      <c r="O30" s="103"/>
      <c r="P30" s="103"/>
      <c r="Q30" s="98"/>
      <c r="V30" s="102"/>
      <c r="W30" s="103"/>
      <c r="X30" s="103"/>
      <c r="Y30" s="103"/>
      <c r="Z30" s="103"/>
      <c r="AA30" s="103"/>
      <c r="AB30" s="103"/>
      <c r="AC30" s="103"/>
      <c r="AD30" s="103"/>
      <c r="AE30" s="98"/>
    </row>
    <row r="31" spans="4:31" ht="15.75" thickBot="1" x14ac:dyDescent="0.3"/>
    <row r="32" spans="4:31" x14ac:dyDescent="0.25">
      <c r="H32" s="99"/>
      <c r="I32" s="92"/>
      <c r="J32" s="92"/>
      <c r="K32" s="92"/>
      <c r="L32" s="92"/>
      <c r="M32" s="92"/>
      <c r="N32" s="92"/>
      <c r="O32" s="92"/>
      <c r="P32" s="92"/>
      <c r="Q32" s="93"/>
      <c r="V32" s="99"/>
      <c r="W32" s="92"/>
      <c r="X32" s="92"/>
      <c r="Y32" s="92"/>
      <c r="Z32" s="92"/>
      <c r="AA32" s="92"/>
      <c r="AB32" s="92"/>
      <c r="AC32" s="92"/>
      <c r="AD32" s="92"/>
      <c r="AE32" s="93"/>
    </row>
    <row r="33" spans="1:31" x14ac:dyDescent="0.25">
      <c r="H33" s="100"/>
      <c r="I33" s="41"/>
      <c r="J33" s="41"/>
      <c r="K33" s="41"/>
      <c r="L33" s="41"/>
      <c r="M33" s="41"/>
      <c r="N33" s="41"/>
      <c r="O33" s="41"/>
      <c r="P33" s="41"/>
      <c r="Q33" s="95"/>
      <c r="V33" s="100"/>
      <c r="W33" s="41"/>
      <c r="X33" s="41"/>
      <c r="Y33" s="41"/>
      <c r="Z33" s="41"/>
      <c r="AA33" s="41"/>
      <c r="AB33" s="41"/>
      <c r="AC33" s="41"/>
      <c r="AD33" s="41"/>
      <c r="AE33" s="95"/>
    </row>
    <row r="34" spans="1:31" x14ac:dyDescent="0.25">
      <c r="H34" s="100"/>
      <c r="I34" s="41"/>
      <c r="J34" s="41"/>
      <c r="K34" s="41"/>
      <c r="L34" s="41"/>
      <c r="M34" s="41"/>
      <c r="N34" s="41"/>
      <c r="O34" s="41"/>
      <c r="P34" s="41"/>
      <c r="Q34" s="95"/>
      <c r="V34" s="100"/>
      <c r="W34" s="41"/>
      <c r="X34" s="41"/>
      <c r="Y34" s="41"/>
      <c r="Z34" s="41"/>
      <c r="AA34" s="41"/>
      <c r="AB34" s="41"/>
      <c r="AC34" s="41"/>
      <c r="AD34" s="41"/>
      <c r="AE34" s="95"/>
    </row>
    <row r="35" spans="1:31" x14ac:dyDescent="0.25">
      <c r="H35" s="100"/>
      <c r="I35" s="41"/>
      <c r="J35" s="41"/>
      <c r="K35" s="41"/>
      <c r="L35" s="41"/>
      <c r="M35" s="41"/>
      <c r="N35" s="41"/>
      <c r="O35" s="41"/>
      <c r="P35" s="41"/>
      <c r="Q35" s="95"/>
      <c r="V35" s="100"/>
      <c r="W35" s="41"/>
      <c r="X35" s="41"/>
      <c r="Y35" s="41"/>
      <c r="Z35" s="41"/>
      <c r="AA35" s="41"/>
      <c r="AB35" s="41"/>
      <c r="AC35" s="41"/>
      <c r="AD35" s="41"/>
      <c r="AE35" s="95"/>
    </row>
    <row r="36" spans="1:31" ht="15.75" thickBot="1" x14ac:dyDescent="0.3">
      <c r="H36" s="102"/>
      <c r="I36" s="103"/>
      <c r="J36" s="103"/>
      <c r="K36" s="103"/>
      <c r="L36" s="103"/>
      <c r="M36" s="103"/>
      <c r="N36" s="103"/>
      <c r="O36" s="103"/>
      <c r="P36" s="103"/>
      <c r="Q36" s="98"/>
      <c r="V36" s="102"/>
      <c r="W36" s="103"/>
      <c r="X36" s="103"/>
      <c r="Y36" s="103"/>
      <c r="Z36" s="103"/>
      <c r="AA36" s="103"/>
      <c r="AB36" s="103"/>
      <c r="AC36" s="103"/>
      <c r="AD36" s="103"/>
      <c r="AE36" s="98"/>
    </row>
    <row r="37" spans="1:31" ht="15.75" thickBot="1" x14ac:dyDescent="0.3"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</row>
    <row r="38" spans="1:31" x14ac:dyDescent="0.25">
      <c r="H38" s="99"/>
      <c r="I38" s="92"/>
      <c r="J38" s="92"/>
      <c r="K38" s="92"/>
      <c r="L38" s="92"/>
      <c r="M38" s="92"/>
      <c r="N38" s="92"/>
      <c r="O38" s="92"/>
      <c r="P38" s="92"/>
      <c r="Q38" s="93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</row>
    <row r="39" spans="1:31" x14ac:dyDescent="0.25">
      <c r="H39" s="100"/>
      <c r="I39" s="41"/>
      <c r="J39" s="41"/>
      <c r="K39" s="41"/>
      <c r="L39" s="41"/>
      <c r="M39" s="41"/>
      <c r="N39" s="41"/>
      <c r="O39" s="41"/>
      <c r="P39" s="41"/>
      <c r="Q39" s="95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</row>
    <row r="40" spans="1:31" x14ac:dyDescent="0.25">
      <c r="H40" s="100"/>
      <c r="I40" s="41"/>
      <c r="J40" s="41"/>
      <c r="K40" s="41"/>
      <c r="L40" s="41"/>
      <c r="M40" s="41"/>
      <c r="N40" s="41"/>
      <c r="O40" s="41"/>
      <c r="P40" s="41"/>
      <c r="Q40" s="95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</row>
    <row r="41" spans="1:31" x14ac:dyDescent="0.25">
      <c r="H41" s="100"/>
      <c r="I41" s="41"/>
      <c r="J41" s="41"/>
      <c r="K41" s="41"/>
      <c r="L41" s="41"/>
      <c r="M41" s="41"/>
      <c r="N41" s="41"/>
      <c r="O41" s="41"/>
      <c r="P41" s="41"/>
      <c r="Q41" s="95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</row>
    <row r="42" spans="1:31" ht="15.75" thickBot="1" x14ac:dyDescent="0.3">
      <c r="H42" s="102"/>
      <c r="I42" s="103"/>
      <c r="J42" s="103"/>
      <c r="K42" s="103"/>
      <c r="L42" s="103"/>
      <c r="M42" s="103"/>
      <c r="N42" s="103"/>
      <c r="O42" s="103"/>
      <c r="P42" s="103"/>
      <c r="Q42" s="98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</row>
    <row r="44" spans="1:31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</row>
    <row r="45" spans="1:31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</row>
    <row r="46" spans="1:31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</row>
    <row r="47" spans="1:3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</row>
    <row r="48" spans="1:3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</row>
    <row r="49" spans="1:3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</row>
    <row r="50" spans="1:3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</row>
    <row r="51" spans="1:3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</row>
    <row r="52" spans="1:31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</row>
    <row r="53" spans="1:31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</row>
    <row r="54" spans="1:31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</row>
    <row r="55" spans="1:3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</row>
    <row r="56" spans="1:31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</row>
    <row r="57" spans="1:31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</row>
    <row r="58" spans="1:31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</row>
    <row r="59" spans="1:31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</row>
    <row r="60" spans="1:31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20"/>
      <c r="V60" s="120"/>
      <c r="W60" s="120"/>
      <c r="X60" s="120"/>
      <c r="Y60" s="120"/>
      <c r="Z60" s="120"/>
      <c r="AA60" s="120"/>
      <c r="AB60" s="120"/>
      <c r="AC60" s="120"/>
      <c r="AD60" s="17"/>
      <c r="AE60" s="17"/>
    </row>
    <row r="61" spans="1:31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</row>
    <row r="62" spans="1:31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</row>
    <row r="63" spans="1:31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</row>
    <row r="64" spans="1:31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</row>
    <row r="65" spans="1:31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</row>
    <row r="66" spans="1:31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</row>
    <row r="67" spans="1:31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</row>
    <row r="68" spans="1:31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</row>
    <row r="69" spans="1:31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</row>
    <row r="70" spans="1:31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</row>
    <row r="71" spans="1:31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</row>
    <row r="72" spans="1:31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</row>
    <row r="73" spans="1:31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</row>
    <row r="74" spans="1:31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</row>
    <row r="75" spans="1:31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</row>
    <row r="76" spans="1:31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</row>
    <row r="77" spans="1:31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</row>
    <row r="78" spans="1:31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</row>
    <row r="79" spans="1:31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</row>
    <row r="80" spans="1:31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</row>
    <row r="81" spans="1:37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H81">
        <f>H3</f>
        <v>2</v>
      </c>
      <c r="AI81">
        <f>K3</f>
        <v>1</v>
      </c>
      <c r="AJ81" t="str">
        <f>N3</f>
        <v>EB</v>
      </c>
      <c r="AK81">
        <f>AE3</f>
        <v>0</v>
      </c>
    </row>
    <row r="82" spans="1:37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H82">
        <f t="shared" ref="AH82:AH84" si="0">H4</f>
        <v>1</v>
      </c>
      <c r="AI82">
        <f t="shared" ref="AI82:AI84" si="1">K4</f>
        <v>1</v>
      </c>
      <c r="AJ82">
        <f t="shared" ref="AJ82:AJ84" si="2">N4</f>
        <v>93</v>
      </c>
      <c r="AK82">
        <f t="shared" ref="AK82:AK84" si="3">AE4</f>
        <v>0</v>
      </c>
    </row>
    <row r="83" spans="1:37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H83">
        <f t="shared" si="0"/>
        <v>1</v>
      </c>
      <c r="AI83">
        <f t="shared" si="1"/>
        <v>3</v>
      </c>
      <c r="AJ83" t="str">
        <f t="shared" si="2"/>
        <v>C7</v>
      </c>
      <c r="AK83">
        <f t="shared" si="3"/>
        <v>0</v>
      </c>
    </row>
    <row r="84" spans="1:37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H84">
        <f t="shared" si="0"/>
        <v>3</v>
      </c>
      <c r="AI84">
        <f t="shared" si="1"/>
        <v>2</v>
      </c>
      <c r="AJ84">
        <f t="shared" si="2"/>
        <v>20</v>
      </c>
      <c r="AK84">
        <f t="shared" si="3"/>
        <v>0</v>
      </c>
    </row>
    <row r="85" spans="1:37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</row>
    <row r="86" spans="1:37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</row>
    <row r="87" spans="1:37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</row>
    <row r="88" spans="1:37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</row>
    <row r="89" spans="1:37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</row>
    <row r="90" spans="1:37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</row>
    <row r="91" spans="1:37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</row>
    <row r="92" spans="1:37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</row>
    <row r="93" spans="1:37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</row>
    <row r="94" spans="1:37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</row>
    <row r="95" spans="1:37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</row>
    <row r="96" spans="1:37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</row>
    <row r="97" spans="1:31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</row>
    <row r="98" spans="1:31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</row>
    <row r="99" spans="1:31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</row>
    <row r="100" spans="1:31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</row>
    <row r="101" spans="1:31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</row>
    <row r="102" spans="1:31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</row>
    <row r="103" spans="1:31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</row>
    <row r="104" spans="1:31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</row>
    <row r="105" spans="1:31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</row>
    <row r="106" spans="1:31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</row>
    <row r="107" spans="1:31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</row>
    <row r="108" spans="1:31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</row>
    <row r="109" spans="1:31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</row>
    <row r="110" spans="1:31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</row>
    <row r="111" spans="1:31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</row>
    <row r="112" spans="1:31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</row>
    <row r="113" spans="1:37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</row>
    <row r="114" spans="1:37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</row>
    <row r="115" spans="1:37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</row>
    <row r="116" spans="1:37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</row>
    <row r="117" spans="1:37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</row>
    <row r="118" spans="1:37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</row>
    <row r="119" spans="1:37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</row>
    <row r="120" spans="1:37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</row>
    <row r="121" spans="1:37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</row>
    <row r="122" spans="1:37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</row>
    <row r="123" spans="1:37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H123">
        <f>V9</f>
        <v>0</v>
      </c>
      <c r="AI123">
        <f>Y9</f>
        <v>0</v>
      </c>
      <c r="AJ123">
        <f>AB9</f>
        <v>0</v>
      </c>
      <c r="AK123">
        <f>AE9</f>
        <v>0</v>
      </c>
    </row>
    <row r="124" spans="1:37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H124">
        <f t="shared" ref="AH124:AH126" si="4">V10</f>
        <v>0</v>
      </c>
      <c r="AI124">
        <f t="shared" ref="AI124:AI126" si="5">Y10</f>
        <v>0</v>
      </c>
      <c r="AJ124">
        <f t="shared" ref="AJ124:AJ126" si="6">AB10</f>
        <v>0</v>
      </c>
      <c r="AK124">
        <f t="shared" ref="AK124:AK126" si="7">AE10</f>
        <v>0</v>
      </c>
    </row>
    <row r="125" spans="1:37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H125">
        <f t="shared" si="4"/>
        <v>0</v>
      </c>
      <c r="AI125">
        <f t="shared" si="5"/>
        <v>0</v>
      </c>
      <c r="AJ125">
        <f t="shared" si="6"/>
        <v>0</v>
      </c>
      <c r="AK125">
        <f t="shared" si="7"/>
        <v>0</v>
      </c>
    </row>
    <row r="126" spans="1:37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H126">
        <f t="shared" si="4"/>
        <v>0</v>
      </c>
      <c r="AI126">
        <f t="shared" si="5"/>
        <v>0</v>
      </c>
      <c r="AJ126">
        <f t="shared" si="6"/>
        <v>0</v>
      </c>
      <c r="AK126">
        <f t="shared" si="7"/>
        <v>0</v>
      </c>
    </row>
    <row r="127" spans="1:37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</row>
    <row r="128" spans="1:37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</row>
    <row r="129" spans="1:31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</row>
    <row r="130" spans="1:31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</row>
    <row r="131" spans="1:31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</row>
    <row r="132" spans="1:31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</row>
    <row r="133" spans="1:31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</row>
    <row r="134" spans="1:31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</row>
    <row r="135" spans="1:31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</row>
    <row r="136" spans="1:31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</row>
    <row r="137" spans="1:31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</row>
    <row r="138" spans="1:31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</row>
    <row r="139" spans="1:31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</row>
    <row r="140" spans="1:31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</row>
    <row r="141" spans="1:31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</row>
    <row r="142" spans="1:31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</row>
    <row r="143" spans="1:31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</row>
    <row r="144" spans="1:31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</row>
    <row r="145" spans="1:31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</row>
    <row r="146" spans="1:31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</row>
    <row r="147" spans="1:3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</row>
    <row r="148" spans="1:31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</row>
    <row r="149" spans="1:31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</row>
    <row r="150" spans="1:31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</row>
    <row r="151" spans="1:31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</row>
    <row r="152" spans="1:31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</row>
    <row r="153" spans="1:31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</row>
    <row r="154" spans="1:31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</row>
    <row r="155" spans="1:31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</row>
    <row r="156" spans="1:31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</row>
    <row r="157" spans="1:31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</row>
    <row r="158" spans="1:31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</row>
    <row r="159" spans="1:31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</row>
    <row r="160" spans="1:31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</row>
    <row r="161" spans="1:37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</row>
    <row r="162" spans="1:37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</row>
    <row r="163" spans="1:37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</row>
    <row r="164" spans="1:37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</row>
    <row r="165" spans="1:37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H165">
        <f>H15</f>
        <v>0</v>
      </c>
      <c r="AI165">
        <f>K15</f>
        <v>0</v>
      </c>
      <c r="AJ165">
        <f>N15</f>
        <v>41</v>
      </c>
      <c r="AK165" t="str">
        <f>Q15</f>
        <v>e</v>
      </c>
    </row>
    <row r="166" spans="1:37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H166">
        <f t="shared" ref="AH166:AH168" si="8">H16</f>
        <v>0</v>
      </c>
      <c r="AI166">
        <f t="shared" ref="AI166:AI168" si="9">K16</f>
        <v>0</v>
      </c>
      <c r="AJ166">
        <f t="shared" ref="AJ166:AJ168" si="10">N16</f>
        <v>11</v>
      </c>
      <c r="AK166">
        <f t="shared" ref="AK166:AK168" si="11">Q16</f>
        <v>9</v>
      </c>
    </row>
    <row r="167" spans="1:37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H167">
        <f t="shared" si="8"/>
        <v>0</v>
      </c>
      <c r="AI167">
        <f t="shared" si="9"/>
        <v>0</v>
      </c>
      <c r="AJ167" t="str">
        <f t="shared" si="10"/>
        <v>f1</v>
      </c>
      <c r="AK167" t="str">
        <f t="shared" si="11"/>
        <v>d</v>
      </c>
    </row>
    <row r="168" spans="1:37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H168">
        <f t="shared" si="8"/>
        <v>0</v>
      </c>
      <c r="AI168">
        <f t="shared" si="9"/>
        <v>0</v>
      </c>
      <c r="AJ168">
        <f t="shared" si="10"/>
        <v>0</v>
      </c>
      <c r="AK168" t="str">
        <f t="shared" si="11"/>
        <v>b</v>
      </c>
    </row>
    <row r="169" spans="1:37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</row>
    <row r="170" spans="1:37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</row>
    <row r="171" spans="1:37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</row>
    <row r="172" spans="1:37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</row>
    <row r="173" spans="1:37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</row>
    <row r="174" spans="1:37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</row>
    <row r="175" spans="1:37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</row>
    <row r="176" spans="1:37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</row>
    <row r="177" spans="1:3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</row>
    <row r="178" spans="1:3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</row>
    <row r="179" spans="1:3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</row>
    <row r="180" spans="1:3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</row>
    <row r="181" spans="1:3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</row>
    <row r="182" spans="1:3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</row>
    <row r="183" spans="1:3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</row>
    <row r="184" spans="1:3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</row>
    <row r="185" spans="1:3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</row>
    <row r="186" spans="1:3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</row>
    <row r="187" spans="1:3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</row>
    <row r="188" spans="1:3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</row>
    <row r="189" spans="1:3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</row>
    <row r="190" spans="1:3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</row>
    <row r="191" spans="1:3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</row>
    <row r="192" spans="1:3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</row>
    <row r="193" spans="1:37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</row>
    <row r="194" spans="1:37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</row>
    <row r="195" spans="1:37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</row>
    <row r="196" spans="1:37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</row>
    <row r="197" spans="1:37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</row>
    <row r="198" spans="1:37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</row>
    <row r="199" spans="1:37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</row>
    <row r="200" spans="1:37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</row>
    <row r="201" spans="1:37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</row>
    <row r="202" spans="1:37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</row>
    <row r="203" spans="1:37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</row>
    <row r="204" spans="1:37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</row>
    <row r="205" spans="1:37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</row>
    <row r="206" spans="1:37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</row>
    <row r="207" spans="1:37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H207">
        <f>V15</f>
        <v>0</v>
      </c>
      <c r="AI207">
        <f>Y15</f>
        <v>0</v>
      </c>
      <c r="AJ207">
        <f>AB15</f>
        <v>0</v>
      </c>
      <c r="AK207">
        <f>AE15</f>
        <v>0</v>
      </c>
    </row>
    <row r="208" spans="1:37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H208">
        <f t="shared" ref="AH208:AH210" si="12">V16</f>
        <v>0</v>
      </c>
      <c r="AI208">
        <f t="shared" ref="AI208:AI210" si="13">Y16</f>
        <v>0</v>
      </c>
      <c r="AJ208">
        <f t="shared" ref="AJ208:AJ210" si="14">AB16</f>
        <v>0</v>
      </c>
      <c r="AK208">
        <f t="shared" ref="AK208:AK210" si="15">AE16</f>
        <v>0</v>
      </c>
    </row>
    <row r="209" spans="1:37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H209">
        <f t="shared" si="12"/>
        <v>0</v>
      </c>
      <c r="AI209">
        <f t="shared" si="13"/>
        <v>0</v>
      </c>
      <c r="AJ209">
        <f t="shared" si="14"/>
        <v>0</v>
      </c>
      <c r="AK209">
        <f t="shared" si="15"/>
        <v>0</v>
      </c>
    </row>
    <row r="210" spans="1:37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H210">
        <f t="shared" si="12"/>
        <v>0</v>
      </c>
      <c r="AI210">
        <f t="shared" si="13"/>
        <v>0</v>
      </c>
      <c r="AJ210">
        <f t="shared" si="14"/>
        <v>0</v>
      </c>
      <c r="AK210">
        <f t="shared" si="15"/>
        <v>0</v>
      </c>
    </row>
    <row r="211" spans="1:37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</row>
    <row r="212" spans="1:37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</row>
    <row r="213" spans="1:37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</row>
    <row r="214" spans="1:37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</row>
    <row r="215" spans="1:37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</row>
    <row r="216" spans="1:37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</row>
    <row r="217" spans="1:37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</row>
    <row r="218" spans="1:37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</row>
    <row r="219" spans="1:37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</row>
    <row r="220" spans="1:37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</row>
    <row r="221" spans="1:37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</row>
    <row r="222" spans="1:37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</row>
    <row r="223" spans="1:37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</row>
    <row r="224" spans="1:37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</row>
    <row r="225" spans="1:31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</row>
    <row r="226" spans="1:31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</row>
    <row r="227" spans="1:31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</row>
    <row r="228" spans="1:31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</row>
    <row r="229" spans="1:31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</row>
    <row r="230" spans="1:31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</row>
    <row r="231" spans="1:31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</row>
    <row r="232" spans="1:31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</row>
    <row r="233" spans="1:31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</row>
    <row r="234" spans="1:31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</row>
    <row r="235" spans="1:31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</row>
    <row r="236" spans="1:31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</row>
    <row r="237" spans="1:31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</row>
    <row r="238" spans="1:31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</row>
    <row r="239" spans="1:31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</row>
    <row r="240" spans="1:31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</row>
    <row r="241" spans="1:37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</row>
    <row r="242" spans="1:37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</row>
    <row r="243" spans="1:37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</row>
    <row r="244" spans="1:37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</row>
    <row r="245" spans="1:37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</row>
    <row r="246" spans="1:37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</row>
    <row r="247" spans="1:37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</row>
    <row r="248" spans="1:37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</row>
    <row r="249" spans="1:37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H249">
        <f>H21</f>
        <v>0</v>
      </c>
      <c r="AI249">
        <f>K21</f>
        <v>0</v>
      </c>
      <c r="AJ249">
        <f>N21</f>
        <v>0</v>
      </c>
      <c r="AK249">
        <f>Q21</f>
        <v>0</v>
      </c>
    </row>
    <row r="250" spans="1:37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H250">
        <f t="shared" ref="AH250:AH252" si="16">H22</f>
        <v>0</v>
      </c>
      <c r="AI250">
        <f t="shared" ref="AI250:AI252" si="17">K22</f>
        <v>0</v>
      </c>
      <c r="AJ250">
        <f t="shared" ref="AJ250:AJ252" si="18">N22</f>
        <v>0</v>
      </c>
      <c r="AK250">
        <f t="shared" ref="AK250:AK252" si="19">Q22</f>
        <v>0</v>
      </c>
    </row>
    <row r="251" spans="1:37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H251">
        <f t="shared" si="16"/>
        <v>0</v>
      </c>
      <c r="AI251">
        <f t="shared" si="17"/>
        <v>0</v>
      </c>
      <c r="AJ251">
        <f t="shared" si="18"/>
        <v>0</v>
      </c>
      <c r="AK251">
        <f t="shared" si="19"/>
        <v>0</v>
      </c>
    </row>
    <row r="252" spans="1:37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H252">
        <f t="shared" si="16"/>
        <v>0</v>
      </c>
      <c r="AI252">
        <f t="shared" si="17"/>
        <v>0</v>
      </c>
      <c r="AJ252">
        <f t="shared" si="18"/>
        <v>0</v>
      </c>
      <c r="AK252">
        <f t="shared" si="19"/>
        <v>0</v>
      </c>
    </row>
    <row r="253" spans="1:37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</row>
    <row r="254" spans="1:37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</row>
    <row r="255" spans="1:37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</row>
    <row r="256" spans="1:37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</row>
    <row r="257" spans="1:31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</row>
    <row r="258" spans="1:31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</row>
    <row r="259" spans="1:31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</row>
    <row r="260" spans="1:31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</row>
    <row r="261" spans="1:31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</row>
    <row r="262" spans="1:31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</row>
    <row r="263" spans="1:31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</row>
    <row r="264" spans="1:31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</row>
    <row r="265" spans="1:31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</row>
    <row r="266" spans="1:31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</row>
    <row r="267" spans="1:31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</row>
    <row r="268" spans="1:31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</row>
    <row r="269" spans="1:31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</row>
    <row r="270" spans="1:31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</row>
    <row r="271" spans="1:31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</row>
    <row r="272" spans="1:31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</row>
    <row r="273" spans="1:31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</row>
    <row r="274" spans="1:31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</row>
    <row r="275" spans="1:31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</row>
    <row r="276" spans="1:31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</row>
    <row r="277" spans="1:31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</row>
    <row r="278" spans="1:31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</row>
    <row r="279" spans="1:31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</row>
    <row r="280" spans="1:31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</row>
    <row r="281" spans="1:31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</row>
    <row r="282" spans="1:31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</row>
    <row r="283" spans="1:31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</row>
    <row r="284" spans="1:31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</row>
    <row r="285" spans="1:31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</row>
    <row r="286" spans="1:31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</row>
    <row r="287" spans="1:31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</row>
    <row r="288" spans="1:31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</row>
    <row r="289" spans="1:37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</row>
    <row r="290" spans="1:37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</row>
    <row r="291" spans="1:37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H291">
        <f>V21</f>
        <v>0</v>
      </c>
      <c r="AI291">
        <f>Y21</f>
        <v>0</v>
      </c>
      <c r="AJ291">
        <f>AB21</f>
        <v>0</v>
      </c>
      <c r="AK291">
        <f>AE21</f>
        <v>0</v>
      </c>
    </row>
    <row r="292" spans="1:37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H292">
        <f t="shared" ref="AH292:AH294" si="20">V22</f>
        <v>0</v>
      </c>
      <c r="AI292">
        <f t="shared" ref="AI292:AI294" si="21">Y22</f>
        <v>0</v>
      </c>
      <c r="AJ292">
        <f t="shared" ref="AJ292:AJ294" si="22">AB22</f>
        <v>0</v>
      </c>
      <c r="AK292">
        <f t="shared" ref="AK292:AK294" si="23">AE22</f>
        <v>0</v>
      </c>
    </row>
    <row r="293" spans="1:37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H293">
        <f t="shared" si="20"/>
        <v>0</v>
      </c>
      <c r="AI293">
        <f t="shared" si="21"/>
        <v>0</v>
      </c>
      <c r="AJ293">
        <f t="shared" si="22"/>
        <v>0</v>
      </c>
      <c r="AK293">
        <f t="shared" si="23"/>
        <v>0</v>
      </c>
    </row>
    <row r="294" spans="1:37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H294">
        <f t="shared" si="20"/>
        <v>0</v>
      </c>
      <c r="AI294">
        <f t="shared" si="21"/>
        <v>0</v>
      </c>
      <c r="AJ294">
        <f t="shared" si="22"/>
        <v>0</v>
      </c>
      <c r="AK294">
        <f t="shared" si="23"/>
        <v>0</v>
      </c>
    </row>
    <row r="295" spans="1:37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</row>
    <row r="296" spans="1:37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</row>
    <row r="297" spans="1:37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</row>
    <row r="298" spans="1:37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</row>
    <row r="299" spans="1:37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</row>
    <row r="300" spans="1:37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</row>
    <row r="301" spans="1:37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</row>
    <row r="302" spans="1:37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</row>
    <row r="303" spans="1:37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</row>
    <row r="304" spans="1:37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</row>
    <row r="305" spans="1:31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</row>
    <row r="306" spans="1:31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</row>
    <row r="307" spans="1:31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</row>
    <row r="308" spans="1:31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</row>
    <row r="309" spans="1:31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</row>
    <row r="310" spans="1:31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</row>
    <row r="311" spans="1:31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</row>
    <row r="312" spans="1:31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</row>
    <row r="313" spans="1:31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</row>
    <row r="314" spans="1:31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</row>
    <row r="315" spans="1:31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</row>
    <row r="316" spans="1:31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</row>
    <row r="317" spans="1:31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</row>
    <row r="318" spans="1:31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</row>
    <row r="319" spans="1:31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</row>
    <row r="320" spans="1:31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</row>
    <row r="321" spans="1:37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</row>
    <row r="322" spans="1:37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</row>
    <row r="323" spans="1:37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</row>
    <row r="324" spans="1:37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</row>
    <row r="325" spans="1:37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</row>
    <row r="326" spans="1:37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</row>
    <row r="327" spans="1:37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</row>
    <row r="328" spans="1:37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</row>
    <row r="329" spans="1:37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</row>
    <row r="330" spans="1:37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</row>
    <row r="331" spans="1:37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</row>
    <row r="332" spans="1:37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</row>
    <row r="333" spans="1:37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H333">
        <f>H27</f>
        <v>0</v>
      </c>
      <c r="AI333">
        <f>K27</f>
        <v>0</v>
      </c>
      <c r="AJ333">
        <f>N27</f>
        <v>0</v>
      </c>
      <c r="AK333">
        <f>Q27</f>
        <v>0</v>
      </c>
    </row>
    <row r="334" spans="1:37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H334">
        <f t="shared" ref="AH334:AH336" si="24">H28</f>
        <v>0</v>
      </c>
      <c r="AI334">
        <f t="shared" ref="AI334:AI336" si="25">K28</f>
        <v>0</v>
      </c>
      <c r="AJ334">
        <f t="shared" ref="AJ334:AJ336" si="26">N28</f>
        <v>0</v>
      </c>
      <c r="AK334">
        <f t="shared" ref="AK334:AK336" si="27">Q28</f>
        <v>0</v>
      </c>
    </row>
    <row r="335" spans="1:37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H335">
        <f t="shared" si="24"/>
        <v>0</v>
      </c>
      <c r="AI335">
        <f t="shared" si="25"/>
        <v>0</v>
      </c>
      <c r="AJ335">
        <f t="shared" si="26"/>
        <v>0</v>
      </c>
      <c r="AK335">
        <f t="shared" si="27"/>
        <v>0</v>
      </c>
    </row>
    <row r="336" spans="1:37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H336">
        <f t="shared" si="24"/>
        <v>0</v>
      </c>
      <c r="AI336">
        <f t="shared" si="25"/>
        <v>0</v>
      </c>
      <c r="AJ336">
        <f t="shared" si="26"/>
        <v>0</v>
      </c>
      <c r="AK336">
        <f t="shared" si="27"/>
        <v>0</v>
      </c>
    </row>
    <row r="337" spans="1:31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</row>
    <row r="338" spans="1:31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</row>
    <row r="339" spans="1:31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</row>
    <row r="340" spans="1:31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</row>
    <row r="341" spans="1:31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</row>
    <row r="342" spans="1:31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</row>
    <row r="343" spans="1:31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</row>
    <row r="344" spans="1:31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</row>
    <row r="345" spans="1:31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</row>
    <row r="346" spans="1:31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</row>
    <row r="347" spans="1:31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</row>
    <row r="348" spans="1:31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</row>
    <row r="349" spans="1:31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</row>
    <row r="350" spans="1:31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</row>
    <row r="351" spans="1:31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</row>
    <row r="352" spans="1:31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</row>
    <row r="353" spans="1:31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</row>
    <row r="354" spans="1:31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</row>
    <row r="355" spans="1:31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</row>
    <row r="356" spans="1:31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</row>
    <row r="357" spans="1:31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</row>
    <row r="358" spans="1:31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</row>
    <row r="359" spans="1:31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</row>
    <row r="360" spans="1:31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</row>
    <row r="361" spans="1:31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</row>
    <row r="362" spans="1:31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</row>
    <row r="363" spans="1:31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</row>
    <row r="364" spans="1:31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</row>
    <row r="365" spans="1:31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</row>
    <row r="366" spans="1:31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</row>
    <row r="367" spans="1:31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</row>
    <row r="368" spans="1:31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</row>
    <row r="369" spans="1:37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</row>
    <row r="370" spans="1:37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</row>
    <row r="371" spans="1:37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</row>
    <row r="372" spans="1:37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</row>
    <row r="373" spans="1:37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</row>
    <row r="374" spans="1:37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</row>
    <row r="375" spans="1:37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H375">
        <f>V21</f>
        <v>0</v>
      </c>
      <c r="AI375">
        <f>Y21</f>
        <v>0</v>
      </c>
      <c r="AJ375">
        <f>AB21</f>
        <v>0</v>
      </c>
      <c r="AK375">
        <f>AE21</f>
        <v>0</v>
      </c>
    </row>
    <row r="376" spans="1:37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H376">
        <f t="shared" ref="AH376:AH378" si="28">V22</f>
        <v>0</v>
      </c>
      <c r="AI376">
        <f t="shared" ref="AI376:AI378" si="29">Y22</f>
        <v>0</v>
      </c>
      <c r="AJ376">
        <f t="shared" ref="AJ376:AJ378" si="30">AB22</f>
        <v>0</v>
      </c>
      <c r="AK376">
        <f t="shared" ref="AK376:AK378" si="31">AE22</f>
        <v>0</v>
      </c>
    </row>
    <row r="377" spans="1:37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H377">
        <f t="shared" si="28"/>
        <v>0</v>
      </c>
      <c r="AI377">
        <f t="shared" si="29"/>
        <v>0</v>
      </c>
      <c r="AJ377">
        <f t="shared" si="30"/>
        <v>0</v>
      </c>
      <c r="AK377">
        <f t="shared" si="31"/>
        <v>0</v>
      </c>
    </row>
    <row r="378" spans="1:37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H378">
        <f t="shared" si="28"/>
        <v>0</v>
      </c>
      <c r="AI378">
        <f t="shared" si="29"/>
        <v>0</v>
      </c>
      <c r="AJ378">
        <f t="shared" si="30"/>
        <v>0</v>
      </c>
      <c r="AK378">
        <f t="shared" si="31"/>
        <v>0</v>
      </c>
    </row>
    <row r="379" spans="1:37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</row>
    <row r="380" spans="1:37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</row>
    <row r="381" spans="1:37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</row>
    <row r="382" spans="1:37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</row>
    <row r="383" spans="1:37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</row>
    <row r="384" spans="1:37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</row>
    <row r="385" spans="1:31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</row>
    <row r="386" spans="1:31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</row>
    <row r="387" spans="1:31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</row>
    <row r="388" spans="1:31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</row>
    <row r="389" spans="1:31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</row>
    <row r="390" spans="1:31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</row>
    <row r="391" spans="1:31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</row>
    <row r="392" spans="1:31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</row>
    <row r="393" spans="1:31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</row>
    <row r="394" spans="1:31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</row>
    <row r="395" spans="1:31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</row>
    <row r="396" spans="1:31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</row>
    <row r="397" spans="1:31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</row>
    <row r="398" spans="1:31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</row>
    <row r="399" spans="1:31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</row>
    <row r="400" spans="1:31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</row>
    <row r="401" spans="1:31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</row>
    <row r="402" spans="1:31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</row>
    <row r="403" spans="1:31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</row>
    <row r="404" spans="1:31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</row>
    <row r="405" spans="1:31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</row>
    <row r="406" spans="1:31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</row>
    <row r="407" spans="1:31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</row>
    <row r="408" spans="1:31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</row>
    <row r="409" spans="1:31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</row>
    <row r="410" spans="1:31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</row>
    <row r="411" spans="1:31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</row>
    <row r="412" spans="1:31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</row>
    <row r="413" spans="1:31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</row>
    <row r="414" spans="1:31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</row>
    <row r="415" spans="1:31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</row>
    <row r="416" spans="1:31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</row>
    <row r="417" spans="1:37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H417">
        <f>H27</f>
        <v>0</v>
      </c>
      <c r="AI417">
        <f>K27</f>
        <v>0</v>
      </c>
      <c r="AJ417">
        <f>N27</f>
        <v>0</v>
      </c>
      <c r="AK417">
        <f>Q27</f>
        <v>0</v>
      </c>
    </row>
    <row r="418" spans="1:37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H418">
        <f t="shared" ref="AH418:AH420" si="32">H28</f>
        <v>0</v>
      </c>
      <c r="AI418">
        <f t="shared" ref="AI418:AI420" si="33">K28</f>
        <v>0</v>
      </c>
      <c r="AJ418">
        <f t="shared" ref="AJ418:AJ420" si="34">N28</f>
        <v>0</v>
      </c>
      <c r="AK418">
        <f t="shared" ref="AK418:AK420" si="35">Q28</f>
        <v>0</v>
      </c>
    </row>
    <row r="419" spans="1:37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H419">
        <f t="shared" si="32"/>
        <v>0</v>
      </c>
      <c r="AI419">
        <f t="shared" si="33"/>
        <v>0</v>
      </c>
      <c r="AJ419">
        <f t="shared" si="34"/>
        <v>0</v>
      </c>
      <c r="AK419">
        <f t="shared" si="35"/>
        <v>0</v>
      </c>
    </row>
    <row r="420" spans="1:37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H420">
        <f t="shared" si="32"/>
        <v>0</v>
      </c>
      <c r="AI420">
        <f t="shared" si="33"/>
        <v>0</v>
      </c>
      <c r="AJ420">
        <f t="shared" si="34"/>
        <v>0</v>
      </c>
      <c r="AK420">
        <f t="shared" si="35"/>
        <v>0</v>
      </c>
    </row>
    <row r="421" spans="1:37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</row>
    <row r="422" spans="1:37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</row>
    <row r="423" spans="1:37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</row>
    <row r="424" spans="1:37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</row>
    <row r="425" spans="1:37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</row>
    <row r="426" spans="1:37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</row>
    <row r="427" spans="1:37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</row>
    <row r="428" spans="1:37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</row>
    <row r="429" spans="1:37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</row>
    <row r="430" spans="1:37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</row>
    <row r="431" spans="1:37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</row>
    <row r="432" spans="1:37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</row>
    <row r="433" spans="1:31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</row>
    <row r="434" spans="1:31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</row>
    <row r="435" spans="1:31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</row>
    <row r="436" spans="1:31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</row>
    <row r="437" spans="1:31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</row>
    <row r="438" spans="1:31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</row>
    <row r="439" spans="1:31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</row>
    <row r="440" spans="1:31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</row>
    <row r="441" spans="1:31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</row>
    <row r="442" spans="1:31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</row>
    <row r="443" spans="1:31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</row>
    <row r="444" spans="1:31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</row>
    <row r="445" spans="1:31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</row>
    <row r="446" spans="1:31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</row>
    <row r="447" spans="1:31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</row>
    <row r="448" spans="1:31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</row>
    <row r="449" spans="1:37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</row>
    <row r="450" spans="1:37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</row>
    <row r="451" spans="1:37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</row>
    <row r="452" spans="1:37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</row>
    <row r="453" spans="1:37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</row>
    <row r="454" spans="1:37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</row>
    <row r="455" spans="1:37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</row>
    <row r="456" spans="1:37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</row>
    <row r="457" spans="1:37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</row>
    <row r="458" spans="1:37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</row>
    <row r="459" spans="1:37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H459">
        <f>V27</f>
        <v>0</v>
      </c>
      <c r="AI459">
        <f>Y27</f>
        <v>0</v>
      </c>
      <c r="AJ459">
        <f>AB27</f>
        <v>0</v>
      </c>
      <c r="AK459">
        <f>AE27</f>
        <v>0</v>
      </c>
    </row>
    <row r="460" spans="1:37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H460">
        <f t="shared" ref="AH460:AH462" si="36">V28</f>
        <v>0</v>
      </c>
      <c r="AI460">
        <f t="shared" ref="AI460:AI462" si="37">Y28</f>
        <v>0</v>
      </c>
      <c r="AJ460">
        <f t="shared" ref="AJ460:AJ462" si="38">AB28</f>
        <v>0</v>
      </c>
      <c r="AK460">
        <f t="shared" ref="AK460:AK462" si="39">AE28</f>
        <v>0</v>
      </c>
    </row>
    <row r="461" spans="1:37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H461">
        <f t="shared" si="36"/>
        <v>0</v>
      </c>
      <c r="AI461">
        <f t="shared" si="37"/>
        <v>0</v>
      </c>
      <c r="AJ461">
        <f t="shared" si="38"/>
        <v>0</v>
      </c>
      <c r="AK461">
        <f t="shared" si="39"/>
        <v>0</v>
      </c>
    </row>
    <row r="462" spans="1:37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H462">
        <f t="shared" si="36"/>
        <v>0</v>
      </c>
      <c r="AI462">
        <f t="shared" si="37"/>
        <v>0</v>
      </c>
      <c r="AJ462">
        <f t="shared" si="38"/>
        <v>0</v>
      </c>
      <c r="AK462">
        <f t="shared" si="39"/>
        <v>0</v>
      </c>
    </row>
    <row r="463" spans="1:37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</row>
    <row r="464" spans="1:37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</row>
    <row r="465" spans="1:31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</row>
    <row r="466" spans="1:31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</row>
    <row r="467" spans="1:31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</row>
    <row r="468" spans="1:31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</row>
    <row r="469" spans="1:31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</row>
    <row r="470" spans="1:31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</row>
    <row r="471" spans="1:31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</row>
    <row r="472" spans="1:31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</row>
    <row r="473" spans="1:31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</row>
    <row r="474" spans="1:31" x14ac:dyDescent="0.2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</row>
    <row r="475" spans="1:31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</row>
    <row r="476" spans="1:31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</row>
    <row r="477" spans="1:31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</row>
    <row r="478" spans="1:31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</row>
    <row r="479" spans="1:31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</row>
    <row r="480" spans="1:31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</row>
    <row r="481" spans="1:31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</row>
    <row r="482" spans="1:31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</row>
    <row r="483" spans="1:31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</row>
    <row r="484" spans="1:31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</row>
    <row r="485" spans="1:31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</row>
    <row r="486" spans="1:31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</row>
    <row r="487" spans="1:31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</row>
    <row r="488" spans="1:31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</row>
    <row r="489" spans="1:31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</row>
    <row r="490" spans="1:31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</row>
    <row r="491" spans="1:31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</row>
    <row r="492" spans="1:31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</row>
    <row r="493" spans="1:31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</row>
    <row r="494" spans="1:31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</row>
    <row r="495" spans="1:31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</row>
    <row r="496" spans="1:31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</row>
    <row r="497" spans="1:37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</row>
    <row r="498" spans="1:37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</row>
    <row r="499" spans="1:37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</row>
    <row r="500" spans="1:37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</row>
    <row r="501" spans="1:37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H501">
        <f>H33</f>
        <v>0</v>
      </c>
      <c r="AI501">
        <f>K33</f>
        <v>0</v>
      </c>
      <c r="AJ501">
        <f>N33</f>
        <v>0</v>
      </c>
      <c r="AK501">
        <f>Q33</f>
        <v>0</v>
      </c>
    </row>
    <row r="502" spans="1:37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H502">
        <f t="shared" ref="AH502:AH504" si="40">H34</f>
        <v>0</v>
      </c>
      <c r="AI502">
        <f t="shared" ref="AI502:AI504" si="41">K34</f>
        <v>0</v>
      </c>
      <c r="AJ502">
        <f t="shared" ref="AJ502:AJ504" si="42">N34</f>
        <v>0</v>
      </c>
      <c r="AK502">
        <f t="shared" ref="AK502:AK504" si="43">Q34</f>
        <v>0</v>
      </c>
    </row>
    <row r="503" spans="1:37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H503">
        <f t="shared" si="40"/>
        <v>0</v>
      </c>
      <c r="AI503">
        <f t="shared" si="41"/>
        <v>0</v>
      </c>
      <c r="AJ503">
        <f t="shared" si="42"/>
        <v>0</v>
      </c>
      <c r="AK503">
        <f t="shared" si="43"/>
        <v>0</v>
      </c>
    </row>
    <row r="504" spans="1:37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H504">
        <f t="shared" si="40"/>
        <v>0</v>
      </c>
      <c r="AI504">
        <f t="shared" si="41"/>
        <v>0</v>
      </c>
      <c r="AJ504">
        <f t="shared" si="42"/>
        <v>0</v>
      </c>
      <c r="AK504">
        <f t="shared" si="43"/>
        <v>0</v>
      </c>
    </row>
    <row r="505" spans="1:37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</row>
    <row r="506" spans="1:37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</row>
    <row r="507" spans="1:37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</row>
    <row r="508" spans="1:37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</row>
    <row r="509" spans="1:37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</row>
    <row r="510" spans="1:37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</row>
    <row r="511" spans="1:37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</row>
    <row r="512" spans="1:37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</row>
    <row r="513" spans="1:31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</row>
    <row r="514" spans="1:31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</row>
    <row r="515" spans="1:31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</row>
    <row r="516" spans="1:31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</row>
    <row r="517" spans="1:31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</row>
    <row r="518" spans="1:31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</row>
    <row r="519" spans="1:31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</row>
    <row r="520" spans="1:31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</row>
    <row r="521" spans="1:31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</row>
    <row r="522" spans="1:31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</row>
    <row r="523" spans="1:31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</row>
    <row r="524" spans="1:31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</row>
    <row r="525" spans="1:31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</row>
    <row r="526" spans="1:31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</row>
    <row r="527" spans="1:31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</row>
    <row r="528" spans="1:31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</row>
    <row r="529" spans="1:37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</row>
    <row r="530" spans="1:37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</row>
    <row r="531" spans="1:37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</row>
    <row r="532" spans="1:37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</row>
    <row r="533" spans="1:37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</row>
    <row r="534" spans="1:37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</row>
    <row r="535" spans="1:37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</row>
    <row r="536" spans="1:37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</row>
    <row r="537" spans="1:37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</row>
    <row r="538" spans="1:37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</row>
    <row r="539" spans="1:37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</row>
    <row r="540" spans="1:37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</row>
    <row r="541" spans="1:37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</row>
    <row r="542" spans="1:37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</row>
    <row r="543" spans="1:37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H543">
        <f>V33</f>
        <v>0</v>
      </c>
      <c r="AI543">
        <f>Y33</f>
        <v>0</v>
      </c>
      <c r="AJ543">
        <f>AB33</f>
        <v>0</v>
      </c>
      <c r="AK543">
        <f>AE33</f>
        <v>0</v>
      </c>
    </row>
    <row r="544" spans="1:37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H544">
        <f t="shared" ref="AH544:AH546" si="44">V34</f>
        <v>0</v>
      </c>
      <c r="AI544">
        <f t="shared" ref="AI544:AI546" si="45">Y34</f>
        <v>0</v>
      </c>
      <c r="AJ544">
        <f t="shared" ref="AJ544:AJ546" si="46">AB34</f>
        <v>0</v>
      </c>
      <c r="AK544">
        <f t="shared" ref="AK544:AK546" si="47">AE34</f>
        <v>0</v>
      </c>
    </row>
    <row r="545" spans="1:37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H545">
        <f t="shared" si="44"/>
        <v>0</v>
      </c>
      <c r="AI545">
        <f t="shared" si="45"/>
        <v>0</v>
      </c>
      <c r="AJ545">
        <f t="shared" si="46"/>
        <v>0</v>
      </c>
      <c r="AK545">
        <f t="shared" si="47"/>
        <v>0</v>
      </c>
    </row>
    <row r="546" spans="1:37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H546">
        <f t="shared" si="44"/>
        <v>0</v>
      </c>
      <c r="AI546">
        <f t="shared" si="45"/>
        <v>0</v>
      </c>
      <c r="AJ546">
        <f t="shared" si="46"/>
        <v>0</v>
      </c>
      <c r="AK546">
        <f t="shared" si="47"/>
        <v>0</v>
      </c>
    </row>
    <row r="547" spans="1:37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</row>
    <row r="548" spans="1:37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</row>
    <row r="549" spans="1:37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</row>
    <row r="550" spans="1:37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</row>
    <row r="551" spans="1:37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</row>
    <row r="552" spans="1:37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</row>
    <row r="553" spans="1:37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</row>
    <row r="554" spans="1:37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</row>
    <row r="555" spans="1:37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</row>
    <row r="556" spans="1:37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</row>
    <row r="557" spans="1:37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</row>
    <row r="558" spans="1:37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</row>
    <row r="559" spans="1:37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</row>
    <row r="560" spans="1:37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</row>
    <row r="561" spans="1:31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</row>
    <row r="562" spans="1:31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</row>
    <row r="563" spans="1:31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</row>
    <row r="564" spans="1:31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</row>
    <row r="565" spans="1:31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</row>
    <row r="566" spans="1:31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</row>
    <row r="567" spans="1:31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</row>
    <row r="568" spans="1:31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</row>
    <row r="569" spans="1:31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</row>
    <row r="570" spans="1:31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</row>
    <row r="571" spans="1:31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</row>
    <row r="572" spans="1:31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</row>
    <row r="573" spans="1:31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</row>
    <row r="574" spans="1:31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</row>
    <row r="575" spans="1:31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</row>
    <row r="576" spans="1:31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</row>
    <row r="577" spans="1:37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</row>
    <row r="578" spans="1:37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</row>
    <row r="579" spans="1:37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</row>
    <row r="580" spans="1:37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</row>
    <row r="581" spans="1:37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</row>
    <row r="582" spans="1:37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</row>
    <row r="583" spans="1:37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</row>
    <row r="584" spans="1:37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</row>
    <row r="585" spans="1:37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H585">
        <f>H39</f>
        <v>0</v>
      </c>
      <c r="AI585">
        <f>K39</f>
        <v>0</v>
      </c>
      <c r="AJ585">
        <f>N39</f>
        <v>0</v>
      </c>
      <c r="AK585">
        <f>Q39</f>
        <v>0</v>
      </c>
    </row>
    <row r="586" spans="1:37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H586">
        <f t="shared" ref="AH586:AH588" si="48">H40</f>
        <v>0</v>
      </c>
      <c r="AI586">
        <f t="shared" ref="AI586:AI588" si="49">K40</f>
        <v>0</v>
      </c>
      <c r="AJ586">
        <f t="shared" ref="AJ586:AJ588" si="50">N40</f>
        <v>0</v>
      </c>
      <c r="AK586">
        <f t="shared" ref="AK586:AK588" si="51">Q40</f>
        <v>0</v>
      </c>
    </row>
    <row r="587" spans="1:37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H587">
        <f t="shared" si="48"/>
        <v>0</v>
      </c>
      <c r="AI587">
        <f t="shared" si="49"/>
        <v>0</v>
      </c>
      <c r="AJ587">
        <f t="shared" si="50"/>
        <v>0</v>
      </c>
      <c r="AK587">
        <f t="shared" si="51"/>
        <v>0</v>
      </c>
    </row>
    <row r="588" spans="1:37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H588">
        <f t="shared" si="48"/>
        <v>0</v>
      </c>
      <c r="AI588">
        <f t="shared" si="49"/>
        <v>0</v>
      </c>
      <c r="AJ588">
        <f t="shared" si="50"/>
        <v>0</v>
      </c>
      <c r="AK588">
        <f t="shared" si="51"/>
        <v>0</v>
      </c>
    </row>
    <row r="589" spans="1:37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</row>
    <row r="590" spans="1:37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</row>
    <row r="591" spans="1:37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</row>
    <row r="592" spans="1:37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</row>
    <row r="593" spans="1:31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</row>
    <row r="594" spans="1:31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</row>
    <row r="595" spans="1:31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</row>
    <row r="596" spans="1:31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</row>
    <row r="597" spans="1:31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</row>
    <row r="598" spans="1:31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</row>
    <row r="599" spans="1:31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</row>
    <row r="600" spans="1:31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</row>
    <row r="601" spans="1:31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</row>
    <row r="602" spans="1:31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</row>
    <row r="603" spans="1:31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</row>
    <row r="604" spans="1:31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</row>
    <row r="605" spans="1:31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</row>
    <row r="606" spans="1:31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</row>
    <row r="607" spans="1:31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</row>
    <row r="608" spans="1:31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</row>
    <row r="609" spans="1:31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</row>
    <row r="610" spans="1:31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</row>
    <row r="611" spans="1:31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</row>
    <row r="612" spans="1:31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</row>
    <row r="613" spans="1:31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</row>
    <row r="614" spans="1:31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</row>
    <row r="615" spans="1:31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</row>
    <row r="616" spans="1:31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</row>
    <row r="617" spans="1:31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</row>
    <row r="618" spans="1:31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</row>
    <row r="619" spans="1:31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</row>
    <row r="620" spans="1:31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</row>
    <row r="621" spans="1:31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</row>
    <row r="622" spans="1:31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</row>
    <row r="623" spans="1:31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</row>
    <row r="624" spans="1:31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</row>
    <row r="625" spans="1:31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</row>
    <row r="626" spans="1:31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</row>
    <row r="627" spans="1:31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</row>
    <row r="628" spans="1:31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</row>
    <row r="629" spans="1:31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</row>
    <row r="630" spans="1:31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</row>
  </sheetData>
  <mergeCells count="4">
    <mergeCell ref="B15:E15"/>
    <mergeCell ref="S1:W1"/>
    <mergeCell ref="U60:AC60"/>
    <mergeCell ref="Q14:T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BEGUNDALS</dc:creator>
  <cp:lastModifiedBy>BEGUNDALS</cp:lastModifiedBy>
  <dcterms:created xsi:type="dcterms:W3CDTF">2018-05-24T13:09:27Z</dcterms:created>
  <dcterms:modified xsi:type="dcterms:W3CDTF">2018-07-11T13:16:41Z</dcterms:modified>
</cp:coreProperties>
</file>